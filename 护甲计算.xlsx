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Mine\warframe\SF_armor\"/>
    </mc:Choice>
  </mc:AlternateContent>
  <xr:revisionPtr revIDLastSave="0" documentId="13_ncr:1_{68BF28D9-73A1-4DBC-89A0-80E2953D2F68}" xr6:coauthVersionLast="47" xr6:coauthVersionMax="47" xr10:uidLastSave="{00000000-0000-0000-0000-000000000000}"/>
  <bookViews>
    <workbookView xWindow="-110" yWindow="-110" windowWidth="25820" windowHeight="15500" activeTab="3" xr2:uid="{81AF030B-54AC-4F14-991A-B6577D30EE31}"/>
  </bookViews>
  <sheets>
    <sheet name="helmet" sheetId="1" r:id="rId1"/>
    <sheet name="body armor" sheetId="2" r:id="rId2"/>
    <sheet name="boots" sheetId="3" r:id="rId3"/>
    <sheet name="Sheet1" sheetId="4" r:id="rId4"/>
  </sheets>
  <definedNames>
    <definedName name="value">Sheet1!$A$7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" i="3" l="1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T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S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U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T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E3" i="1"/>
  <c r="V7" i="3" l="1"/>
  <c r="V15" i="3"/>
  <c r="V9" i="3"/>
  <c r="V16" i="3"/>
  <c r="V11" i="3"/>
  <c r="V12" i="3"/>
  <c r="V13" i="2"/>
  <c r="V10" i="2"/>
  <c r="V6" i="3"/>
  <c r="V19" i="3"/>
  <c r="V18" i="3"/>
  <c r="V17" i="3"/>
  <c r="V13" i="3"/>
  <c r="V8" i="3"/>
  <c r="V14" i="2"/>
  <c r="V10" i="3"/>
  <c r="V12" i="2"/>
  <c r="V8" i="2"/>
  <c r="V7" i="2"/>
  <c r="V5" i="2"/>
  <c r="V4" i="2"/>
  <c r="V3" i="2"/>
  <c r="V9" i="2"/>
  <c r="V2" i="2"/>
  <c r="V11" i="2"/>
  <c r="V6" i="2"/>
  <c r="V5" i="3"/>
  <c r="V20" i="2"/>
  <c r="V4" i="3"/>
  <c r="V2" i="3"/>
  <c r="V19" i="2"/>
  <c r="V3" i="3"/>
  <c r="V21" i="2"/>
  <c r="V15" i="2"/>
  <c r="V18" i="2"/>
  <c r="V14" i="3"/>
  <c r="V17" i="2"/>
  <c r="V21" i="3"/>
  <c r="V16" i="2"/>
  <c r="V20" i="3"/>
  <c r="V19" i="1"/>
  <c r="V26" i="1"/>
  <c r="V18" i="1"/>
  <c r="V25" i="1"/>
  <c r="V21" i="1"/>
  <c r="V17" i="1"/>
  <c r="V23" i="1"/>
  <c r="V20" i="1"/>
  <c r="V16" i="1"/>
  <c r="V5" i="1"/>
  <c r="V24" i="1"/>
  <c r="V22" i="1"/>
  <c r="V14" i="1"/>
  <c r="V13" i="1"/>
  <c r="V10" i="1"/>
  <c r="V15" i="1"/>
  <c r="V12" i="1"/>
  <c r="V11" i="1"/>
  <c r="V9" i="1"/>
  <c r="V3" i="1"/>
  <c r="V8" i="1"/>
  <c r="V2" i="1"/>
  <c r="V7" i="1"/>
  <c r="V6" i="1"/>
  <c r="V4" i="1"/>
  <c r="W21" i="2" l="1"/>
  <c r="W4" i="3"/>
  <c r="W10" i="2"/>
  <c r="W5" i="1"/>
  <c r="W4" i="2"/>
  <c r="W17" i="3"/>
  <c r="W5" i="3"/>
  <c r="W16" i="2"/>
  <c r="W20" i="2"/>
  <c r="W10" i="3"/>
  <c r="W12" i="2"/>
  <c r="W3" i="2"/>
  <c r="W7" i="2"/>
  <c r="W14" i="3"/>
  <c r="W3" i="3"/>
  <c r="W19" i="2"/>
  <c r="W7" i="3"/>
  <c r="W18" i="3"/>
  <c r="W13" i="2"/>
  <c r="W6" i="3"/>
  <c r="W18" i="2"/>
  <c r="W8" i="3"/>
  <c r="W13" i="3"/>
  <c r="W12" i="3"/>
  <c r="W9" i="2"/>
  <c r="J9" i="4" s="1" a="1"/>
  <c r="J9" i="4" s="1"/>
  <c r="W17" i="1"/>
  <c r="W5" i="2"/>
  <c r="W15" i="3"/>
  <c r="W9" i="3"/>
  <c r="J15" i="4" s="1" a="1"/>
  <c r="J15" i="4" s="1"/>
  <c r="W11" i="3"/>
  <c r="W17" i="2"/>
  <c r="W20" i="3"/>
  <c r="W18" i="1"/>
  <c r="W11" i="2"/>
  <c r="W19" i="3"/>
  <c r="W19" i="1"/>
  <c r="W21" i="3"/>
  <c r="W15" i="2"/>
  <c r="W10" i="1"/>
  <c r="W20" i="1"/>
  <c r="W2" i="1"/>
  <c r="W8" i="1"/>
  <c r="W6" i="2"/>
  <c r="W14" i="2"/>
  <c r="W2" i="3"/>
  <c r="W14" i="1"/>
  <c r="W16" i="3"/>
  <c r="W23" i="1"/>
  <c r="W8" i="2"/>
  <c r="W22" i="1"/>
  <c r="W9" i="1"/>
  <c r="W11" i="1"/>
  <c r="W15" i="1"/>
  <c r="W24" i="1"/>
  <c r="W2" i="2"/>
  <c r="W25" i="1"/>
  <c r="W26" i="1"/>
  <c r="W4" i="1"/>
  <c r="W16" i="1"/>
  <c r="W6" i="1"/>
  <c r="W7" i="1"/>
  <c r="W21" i="1"/>
  <c r="W3" i="1"/>
  <c r="W13" i="1"/>
  <c r="W12" i="1"/>
  <c r="J2" i="4" l="1" a="1"/>
  <c r="J2" i="4" s="1"/>
  <c r="E7" i="4" l="1"/>
  <c r="G7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<sst xmlns="http://schemas.openxmlformats.org/spreadsheetml/2006/main" count="283" uniqueCount="191">
  <si>
    <t>Name</t>
    <phoneticPr fontId="1" type="noConversion"/>
  </si>
  <si>
    <t>Drop</t>
    <phoneticPr fontId="1" type="noConversion"/>
  </si>
  <si>
    <t>Base_mag</t>
    <phoneticPr fontId="1" type="noConversion"/>
  </si>
  <si>
    <t>Base_sta</t>
    <phoneticPr fontId="1" type="noConversion"/>
  </si>
  <si>
    <t>mag_cor</t>
    <phoneticPr fontId="1" type="noConversion"/>
  </si>
  <si>
    <t>mag_spi</t>
    <phoneticPr fontId="1" type="noConversion"/>
  </si>
  <si>
    <t>mag_gra</t>
    <phoneticPr fontId="1" type="noConversion"/>
  </si>
  <si>
    <t>sta_cor</t>
    <phoneticPr fontId="1" type="noConversion"/>
  </si>
  <si>
    <t>sta_spi</t>
    <phoneticPr fontId="1" type="noConversion"/>
  </si>
  <si>
    <t>sta_gra</t>
    <phoneticPr fontId="1" type="noConversion"/>
  </si>
  <si>
    <t>min_cor</t>
    <phoneticPr fontId="1" type="noConversion"/>
  </si>
  <si>
    <t>min_spi</t>
    <phoneticPr fontId="1" type="noConversion"/>
  </si>
  <si>
    <t>min_gra</t>
    <phoneticPr fontId="1" type="noConversion"/>
  </si>
  <si>
    <t>Base_phy</t>
  </si>
  <si>
    <t>phy_spi</t>
  </si>
  <si>
    <t>phy_gra</t>
  </si>
  <si>
    <t>雪融瓦式腿甲</t>
    <phoneticPr fontId="1" type="noConversion"/>
  </si>
  <si>
    <t>雪融节</t>
    <phoneticPr fontId="1" type="noConversion"/>
  </si>
  <si>
    <t>荒源西林织语枝护腿</t>
    <phoneticPr fontId="1" type="noConversion"/>
  </si>
  <si>
    <t>phy_cor</t>
    <phoneticPr fontId="1" type="noConversion"/>
  </si>
  <si>
    <t>eng</t>
    <phoneticPr fontId="1" type="noConversion"/>
  </si>
  <si>
    <t>THAWTIDE SHINGLES</t>
    <phoneticPr fontId="1" type="noConversion"/>
  </si>
  <si>
    <t>WYLD SIRIN WEVETBELT</t>
    <phoneticPr fontId="1" type="noConversion"/>
  </si>
  <si>
    <t>MENDICANT KING'S SABATONS</t>
    <phoneticPr fontId="1" type="noConversion"/>
  </si>
  <si>
    <t>MONCKERY DOUTHROT</t>
    <phoneticPr fontId="1" type="noConversion"/>
  </si>
  <si>
    <t>ORENGALL'S GREAVES</t>
    <phoneticPr fontId="1" type="noConversion"/>
  </si>
  <si>
    <t>TETHREN'S ROOTS</t>
    <phoneticPr fontId="1" type="noConversion"/>
  </si>
  <si>
    <t>REGENT'S DRAPERY</t>
    <phoneticPr fontId="1" type="noConversion"/>
  </si>
  <si>
    <t>CIRCADE'S GREAVES</t>
    <phoneticPr fontId="1" type="noConversion"/>
  </si>
  <si>
    <t>FIRE KING'S KILT</t>
    <phoneticPr fontId="1" type="noConversion"/>
  </si>
  <si>
    <t>GARREN'S CLOVEN HOSEN</t>
    <phoneticPr fontId="1" type="noConversion"/>
  </si>
  <si>
    <t>FIRE KING'S PLACKART</t>
    <phoneticPr fontId="1" type="noConversion"/>
  </si>
  <si>
    <t>FORGETFIRE LEATHERS</t>
    <phoneticPr fontId="1" type="noConversion"/>
  </si>
  <si>
    <t>苦行者国王圣靴</t>
    <phoneticPr fontId="1" type="noConversion"/>
  </si>
  <si>
    <t>乞王</t>
    <phoneticPr fontId="1" type="noConversion"/>
  </si>
  <si>
    <t>嘲魂绑腿</t>
    <phoneticPr fontId="1" type="noConversion"/>
  </si>
  <si>
    <t>三重</t>
    <phoneticPr fontId="1" type="noConversion"/>
  </si>
  <si>
    <t>奥伦加护胫</t>
    <phoneticPr fontId="1" type="noConversion"/>
  </si>
  <si>
    <t>集团</t>
    <phoneticPr fontId="1" type="noConversion"/>
  </si>
  <si>
    <t>红手初始</t>
    <phoneticPr fontId="1" type="noConversion"/>
  </si>
  <si>
    <t>摄政布甲</t>
    <phoneticPr fontId="1" type="noConversion"/>
  </si>
  <si>
    <t>凯瑟德护胫</t>
    <phoneticPr fontId="1" type="noConversion"/>
  </si>
  <si>
    <t>墓穴解密</t>
    <phoneticPr fontId="1" type="noConversion"/>
  </si>
  <si>
    <t>烈火之王战裙</t>
    <phoneticPr fontId="1" type="noConversion"/>
  </si>
  <si>
    <t>加伦之分蹄靴裤</t>
    <phoneticPr fontId="1" type="noConversion"/>
  </si>
  <si>
    <t>鹿</t>
    <phoneticPr fontId="1" type="noConversion"/>
  </si>
  <si>
    <t>ARBEARER'S BRAES</t>
    <phoneticPr fontId="1" type="noConversion"/>
  </si>
  <si>
    <t>承种者绑腿</t>
    <phoneticPr fontId="1" type="noConversion"/>
  </si>
  <si>
    <t>南瓜人</t>
    <phoneticPr fontId="1" type="noConversion"/>
  </si>
  <si>
    <t>FORGETFIRE BRAES</t>
    <phoneticPr fontId="1" type="noConversion"/>
  </si>
  <si>
    <t>忘焰绑腿</t>
    <phoneticPr fontId="1" type="noConversion"/>
  </si>
  <si>
    <t>FORSAKEN RAGS</t>
    <phoneticPr fontId="1" type="noConversion"/>
  </si>
  <si>
    <t>初始</t>
    <phoneticPr fontId="1" type="noConversion"/>
  </si>
  <si>
    <t>OSCELDA'S FEATHERBINDS</t>
    <phoneticPr fontId="1" type="noConversion"/>
  </si>
  <si>
    <t>SIRIN'S STALKS</t>
    <phoneticPr fontId="1" type="noConversion"/>
  </si>
  <si>
    <t>绿手初始</t>
    <phoneticPr fontId="1" type="noConversion"/>
  </si>
  <si>
    <t>蓝手初始</t>
    <phoneticPr fontId="1" type="noConversion"/>
  </si>
  <si>
    <t>STEELSINGER'S SHREDS</t>
    <phoneticPr fontId="1" type="noConversion"/>
  </si>
  <si>
    <t>双轨炮</t>
    <phoneticPr fontId="1" type="noConversion"/>
  </si>
  <si>
    <t>西林隐行裤</t>
    <phoneticPr fontId="1" type="noConversion"/>
  </si>
  <si>
    <t>钢咏师布条</t>
    <phoneticPr fontId="1" type="noConversion"/>
  </si>
  <si>
    <t>TEMPEST BREAS</t>
    <phoneticPr fontId="1" type="noConversion"/>
  </si>
  <si>
    <t>暴风绑腿</t>
    <phoneticPr fontId="1" type="noConversion"/>
  </si>
  <si>
    <t>WYLD OSCELDA BELTOLLS</t>
    <phoneticPr fontId="1" type="noConversion"/>
  </si>
  <si>
    <t>WYLD TETHREN FLAMEFOOT</t>
    <phoneticPr fontId="1" type="noConversion"/>
  </si>
  <si>
    <t>荒源奥瑟达钟鸣护腿</t>
    <phoneticPr fontId="1" type="noConversion"/>
  </si>
  <si>
    <t>荒源特斯伦踏火腿甲</t>
    <phoneticPr fontId="1" type="noConversion"/>
  </si>
  <si>
    <t>绿手大包</t>
    <phoneticPr fontId="1" type="noConversion"/>
  </si>
  <si>
    <t>红手大包</t>
    <phoneticPr fontId="1" type="noConversion"/>
  </si>
  <si>
    <t>西林大包</t>
    <phoneticPr fontId="1" type="noConversion"/>
  </si>
  <si>
    <t>ARBEARER'S MASK</t>
    <phoneticPr fontId="1" type="noConversion"/>
  </si>
  <si>
    <t>ARMET OF ORENGALL</t>
    <phoneticPr fontId="1" type="noConversion"/>
  </si>
  <si>
    <t>BASCINET OF THE MENDICANT KING</t>
    <phoneticPr fontId="1" type="noConversion"/>
  </si>
  <si>
    <t>BRAZEN LUNG</t>
    <phoneticPr fontId="1" type="noConversion"/>
  </si>
  <si>
    <t>CIRCADE'S HELM OF DECEIT</t>
    <phoneticPr fontId="1" type="noConversion"/>
  </si>
  <si>
    <t>CRONE CUCURBITA MASK</t>
    <phoneticPr fontId="1" type="noConversion"/>
  </si>
  <si>
    <t>FORGETFIRE VISARD</t>
    <phoneticPr fontId="1" type="noConversion"/>
  </si>
  <si>
    <t>GARREN'S CROWN OF GRACE</t>
    <phoneticPr fontId="1" type="noConversion"/>
  </si>
  <si>
    <t>GREAT HELM OF THE FIRE KING</t>
    <phoneticPr fontId="1" type="noConversion"/>
  </si>
  <si>
    <t>HELMLESS</t>
    <phoneticPr fontId="1" type="noConversion"/>
  </si>
  <si>
    <t>LIL' ZOOK MASK</t>
    <phoneticPr fontId="1" type="noConversion"/>
  </si>
  <si>
    <t>MOCKERY ILK</t>
    <phoneticPr fontId="1" type="noConversion"/>
  </si>
  <si>
    <t>OSCELDA'S DIADEM</t>
    <phoneticPr fontId="1" type="noConversion"/>
  </si>
  <si>
    <t>POPPA PEPO MASK</t>
    <phoneticPr fontId="1" type="noConversion"/>
  </si>
  <si>
    <t>REGENT'S VEIL</t>
    <phoneticPr fontId="1" type="noConversion"/>
  </si>
  <si>
    <t>SIRIN'S SHROUD</t>
    <phoneticPr fontId="1" type="noConversion"/>
  </si>
  <si>
    <t>STEELSINGER'S CIRCLET</t>
    <phoneticPr fontId="1" type="noConversion"/>
  </si>
  <si>
    <t>TEMPEST VISARD</t>
    <phoneticPr fontId="1" type="noConversion"/>
  </si>
  <si>
    <t>TETHREN'S CAP</t>
    <phoneticPr fontId="1" type="noConversion"/>
  </si>
  <si>
    <t>THAWTIDE GRIMGUISE</t>
    <phoneticPr fontId="1" type="noConversion"/>
  </si>
  <si>
    <t>THAWTIDE MELTCAP</t>
    <phoneticPr fontId="1" type="noConversion"/>
  </si>
  <si>
    <t>WYLD OSCELDA'S EXHALT</t>
    <phoneticPr fontId="1" type="noConversion"/>
  </si>
  <si>
    <t>WYLD SIRIN'S FEIGNMASK</t>
    <phoneticPr fontId="1" type="noConversion"/>
  </si>
  <si>
    <t>WYLD TETHREN'S HORNHELM</t>
    <phoneticPr fontId="1" type="noConversion"/>
  </si>
  <si>
    <t>MOCKERY BINDS</t>
    <phoneticPr fontId="1" type="noConversion"/>
  </si>
  <si>
    <t>ARBEARER'S PAUNCHER</t>
    <phoneticPr fontId="1" type="noConversion"/>
  </si>
  <si>
    <t>CIRCADE'S GUTGUARD</t>
    <phoneticPr fontId="1" type="noConversion"/>
  </si>
  <si>
    <t>LAID BARE</t>
    <phoneticPr fontId="1" type="noConversion"/>
  </si>
  <si>
    <t>MENDICANT KING'S SUIT OF RANCOR</t>
    <phoneticPr fontId="1" type="noConversion"/>
  </si>
  <si>
    <t>ORENGALL'S CUIRASS</t>
    <phoneticPr fontId="1" type="noConversion"/>
  </si>
  <si>
    <t>OSCELDA'S BLUES</t>
    <phoneticPr fontId="1" type="noConversion"/>
  </si>
  <si>
    <t>REGALIA OF GARREN ROOD</t>
    <phoneticPr fontId="1" type="noConversion"/>
  </si>
  <si>
    <t>REGENT'S SHELL</t>
    <phoneticPr fontId="1" type="noConversion"/>
  </si>
  <si>
    <t>SIRIN'S PLAINHIDE</t>
    <phoneticPr fontId="1" type="noConversion"/>
  </si>
  <si>
    <t>STEELSINGER'S STITHYWICKS</t>
    <phoneticPr fontId="1" type="noConversion"/>
  </si>
  <si>
    <t>TEMPEST LEATHERS</t>
    <phoneticPr fontId="1" type="noConversion"/>
  </si>
  <si>
    <t>TETHREN'S TUNIC</t>
    <phoneticPr fontId="1" type="noConversion"/>
  </si>
  <si>
    <t>THAWTIDE THERMALS</t>
    <phoneticPr fontId="1" type="noConversion"/>
  </si>
  <si>
    <t>WYLD OSCELDA PENDELVEIL</t>
    <phoneticPr fontId="1" type="noConversion"/>
  </si>
  <si>
    <t>WYLD SIRIN FINERY</t>
    <phoneticPr fontId="1" type="noConversion"/>
  </si>
  <si>
    <t>WYLD TETHREN SOLIST SHIELD</t>
    <phoneticPr fontId="1" type="noConversion"/>
  </si>
  <si>
    <t>承种者面具</t>
    <phoneticPr fontId="1" type="noConversion"/>
  </si>
  <si>
    <t>瑟凯德欺诈头盔</t>
    <phoneticPr fontId="1" type="noConversion"/>
  </si>
  <si>
    <t>烈火之王头盔</t>
    <phoneticPr fontId="1" type="noConversion"/>
  </si>
  <si>
    <t>铜肺</t>
    <phoneticPr fontId="1" type="noConversion"/>
  </si>
  <si>
    <t>荒源奥瑟达赞歌头盔</t>
    <phoneticPr fontId="1" type="noConversion"/>
  </si>
  <si>
    <t>荒源西林假面</t>
    <phoneticPr fontId="1" type="noConversion"/>
  </si>
  <si>
    <t>苦行者国王头盔</t>
    <phoneticPr fontId="1" type="noConversion"/>
  </si>
  <si>
    <t>荒源特斯伦号角头盔</t>
    <phoneticPr fontId="1" type="noConversion"/>
  </si>
  <si>
    <t>蓝手大包</t>
    <phoneticPr fontId="1" type="noConversion"/>
  </si>
  <si>
    <t>无头盔</t>
    <phoneticPr fontId="1" type="noConversion"/>
  </si>
  <si>
    <t>西林兜帽</t>
    <phoneticPr fontId="1" type="noConversion"/>
  </si>
  <si>
    <t>雪融黯面</t>
  </si>
  <si>
    <t>加伦之恩典头冠</t>
    <phoneticPr fontId="1" type="noConversion"/>
  </si>
  <si>
    <t>嘲魂盔帽</t>
    <phoneticPr fontId="1" type="noConversion"/>
  </si>
  <si>
    <t>奥伦加头盔</t>
    <phoneticPr fontId="1" type="noConversion"/>
  </si>
  <si>
    <t>摄政头巾</t>
    <phoneticPr fontId="1" type="noConversion"/>
  </si>
  <si>
    <t>雪融蚀帽</t>
    <phoneticPr fontId="1" type="noConversion"/>
  </si>
  <si>
    <t>！无法获得</t>
    <phoneticPr fontId="1" type="noConversion"/>
  </si>
  <si>
    <t>忘焰面罩</t>
    <phoneticPr fontId="1" type="noConversion"/>
  </si>
  <si>
    <t>！Lil'Zook面具</t>
    <phoneticPr fontId="1" type="noConversion"/>
  </si>
  <si>
    <t>！Poppa Pepo面具</t>
    <phoneticPr fontId="1" type="noConversion"/>
  </si>
  <si>
    <t>暴风面罩</t>
    <phoneticPr fontId="1" type="noConversion"/>
  </si>
  <si>
    <t>钢咏师头环</t>
    <phoneticPr fontId="1" type="noConversion"/>
  </si>
  <si>
    <t>暴风皮衣</t>
    <phoneticPr fontId="1" type="noConversion"/>
  </si>
  <si>
    <t>加伦·鲁德礼服</t>
    <phoneticPr fontId="1" type="noConversion"/>
  </si>
  <si>
    <t>雪融保暖服</t>
    <phoneticPr fontId="1" type="noConversion"/>
  </si>
  <si>
    <t>苦行者国王怨袍</t>
    <phoneticPr fontId="1" type="noConversion"/>
  </si>
  <si>
    <t>摄政铠甲</t>
    <phoneticPr fontId="1" type="noConversion"/>
  </si>
  <si>
    <t>忘焰皮衣</t>
    <phoneticPr fontId="1" type="noConversion"/>
  </si>
  <si>
    <t>承种者腹甲</t>
    <phoneticPr fontId="1" type="noConversion"/>
  </si>
  <si>
    <t>奥伦加胸甲</t>
    <phoneticPr fontId="1" type="noConversion"/>
  </si>
  <si>
    <t>嘲魂束衣</t>
    <phoneticPr fontId="1" type="noConversion"/>
  </si>
  <si>
    <t>凯瑟德护腹</t>
    <phoneticPr fontId="1" type="noConversion"/>
  </si>
  <si>
    <t>烈火之王铠甲</t>
    <phoneticPr fontId="1" type="noConversion"/>
  </si>
  <si>
    <t>荒源奥瑟达巫纱</t>
    <phoneticPr fontId="1" type="noConversion"/>
  </si>
  <si>
    <t>荒源西林华服</t>
    <phoneticPr fontId="1" type="noConversion"/>
  </si>
  <si>
    <t>荒源特斯伦独战士之盾</t>
    <phoneticPr fontId="1" type="noConversion"/>
  </si>
  <si>
    <t>西林素皮衣</t>
    <phoneticPr fontId="1" type="noConversion"/>
  </si>
  <si>
    <t>钢咏师铁砧布衣</t>
    <phoneticPr fontId="1" type="noConversion"/>
  </si>
  <si>
    <t>赤裸</t>
    <phoneticPr fontId="1" type="noConversion"/>
  </si>
  <si>
    <t>奥瑟达羽带</t>
    <phoneticPr fontId="1" type="noConversion"/>
  </si>
  <si>
    <t>奥瑟达蓝衣</t>
    <phoneticPr fontId="1" type="noConversion"/>
  </si>
  <si>
    <t>奥瑟达王冠</t>
    <phoneticPr fontId="1" type="noConversion"/>
  </si>
  <si>
    <t>特斯伦帽</t>
    <phoneticPr fontId="1" type="noConversion"/>
  </si>
  <si>
    <t>phy</t>
    <phoneticPr fontId="1" type="noConversion"/>
  </si>
  <si>
    <t>mag</t>
    <phoneticPr fontId="1" type="noConversion"/>
  </si>
  <si>
    <t>sta</t>
    <phoneticPr fontId="1" type="noConversion"/>
  </si>
  <si>
    <t>Courage</t>
    <phoneticPr fontId="1" type="noConversion"/>
  </si>
  <si>
    <t>Spirit</t>
    <phoneticPr fontId="1" type="noConversion"/>
  </si>
  <si>
    <t>Grace</t>
    <phoneticPr fontId="1" type="noConversion"/>
  </si>
  <si>
    <t>Score</t>
    <phoneticPr fontId="1" type="noConversion"/>
  </si>
  <si>
    <t>Phy</t>
    <phoneticPr fontId="1" type="noConversion"/>
  </si>
  <si>
    <t>Magic</t>
    <phoneticPr fontId="1" type="noConversion"/>
  </si>
  <si>
    <t>Stable</t>
    <phoneticPr fontId="1" type="noConversion"/>
  </si>
  <si>
    <t>WAZZARD'S BYCOKET</t>
    <phoneticPr fontId="1" type="noConversion"/>
  </si>
  <si>
    <t>器管</t>
    <phoneticPr fontId="1" type="noConversion"/>
  </si>
  <si>
    <t>WAZZARD'S ROBES</t>
    <phoneticPr fontId="1" type="noConversion"/>
  </si>
  <si>
    <t>某个节日</t>
    <phoneticPr fontId="1" type="noConversion"/>
  </si>
  <si>
    <t>被遗忘的破布</t>
    <phoneticPr fontId="1" type="noConversion"/>
  </si>
  <si>
    <t>WAZZARD'S TRUNKS</t>
    <phoneticPr fontId="1" type="noConversion"/>
  </si>
  <si>
    <t>Rank</t>
    <phoneticPr fontId="1" type="noConversion"/>
  </si>
  <si>
    <t>英文名称</t>
    <phoneticPr fontId="1" type="noConversion"/>
  </si>
  <si>
    <t>物理</t>
    <phoneticPr fontId="1" type="noConversion"/>
  </si>
  <si>
    <t>魔法</t>
    <phoneticPr fontId="1" type="noConversion"/>
  </si>
  <si>
    <t>硬直</t>
    <phoneticPr fontId="1" type="noConversion"/>
  </si>
  <si>
    <t>排名</t>
    <phoneticPr fontId="1" type="noConversion"/>
  </si>
  <si>
    <t>名称</t>
    <phoneticPr fontId="1" type="noConversion"/>
  </si>
  <si>
    <t>获取</t>
    <phoneticPr fontId="1" type="noConversion"/>
  </si>
  <si>
    <t>综合得分</t>
    <phoneticPr fontId="1" type="noConversion"/>
  </si>
  <si>
    <t>最高护甲值</t>
    <phoneticPr fontId="1" type="noConversion"/>
  </si>
  <si>
    <t>最高得分</t>
    <phoneticPr fontId="1" type="noConversion"/>
  </si>
  <si>
    <t>头盔
Helmet</t>
    <phoneticPr fontId="1" type="noConversion"/>
  </si>
  <si>
    <t>胸甲
Cuirass</t>
    <phoneticPr fontId="1" type="noConversion"/>
  </si>
  <si>
    <t>腿甲
Leggings</t>
    <phoneticPr fontId="1" type="noConversion"/>
  </si>
  <si>
    <t>巫术师的尖顶帽</t>
    <phoneticPr fontId="1" type="noConversion"/>
  </si>
  <si>
    <t>巫术师的长袍</t>
    <phoneticPr fontId="1" type="noConversion"/>
  </si>
  <si>
    <t>巫术师的下装</t>
    <phoneticPr fontId="1" type="noConversion"/>
  </si>
  <si>
    <t>特斯伦外套</t>
    <phoneticPr fontId="1" type="noConversion"/>
  </si>
  <si>
    <t>特斯伦孤根鞋裤</t>
    <phoneticPr fontId="1" type="noConversion"/>
  </si>
  <si>
    <t>value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</si>
</sst>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\ ???/???"/>
    <numFmt numFmtId="177" formatCode="0_ "/>
    <numFmt numFmtId="178" formatCode="0;[Red]0"/>
  </numFmts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theme="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0F1115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13" fontId="0" fillId="0" borderId="0" xfId="0" applyNumberFormat="1">
      <alignment vertical="center"/>
    </xf>
    <xf numFmtId="13" fontId="0" fillId="0" borderId="1" xfId="0" applyNumberFormat="1" applyBorder="1">
      <alignment vertical="center"/>
    </xf>
    <xf numFmtId="13" fontId="0" fillId="0" borderId="2" xfId="0" applyNumberFormat="1" applyBorder="1">
      <alignment vertical="center"/>
    </xf>
    <xf numFmtId="13" fontId="0" fillId="0" borderId="3" xfId="0" applyNumberFormat="1" applyBorder="1">
      <alignment vertical="center"/>
    </xf>
    <xf numFmtId="13" fontId="0" fillId="0" borderId="4" xfId="0" applyNumberFormat="1" applyBorder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7" fontId="0" fillId="0" borderId="3" xfId="0" applyNumberFormat="1" applyBorder="1">
      <alignment vertical="center"/>
    </xf>
    <xf numFmtId="177" fontId="0" fillId="0" borderId="4" xfId="0" applyNumberFormat="1" applyBorder="1">
      <alignment vertical="center"/>
    </xf>
    <xf numFmtId="177" fontId="2" fillId="2" borderId="0" xfId="0" applyNumberFormat="1" applyFont="1" applyFill="1">
      <alignment vertical="center"/>
    </xf>
    <xf numFmtId="177" fontId="2" fillId="3" borderId="0" xfId="0" applyNumberFormat="1" applyFont="1" applyFill="1">
      <alignment vertical="center"/>
    </xf>
    <xf numFmtId="177" fontId="2" fillId="4" borderId="2" xfId="0" applyNumberFormat="1" applyFont="1" applyFill="1" applyBorder="1">
      <alignment vertical="center"/>
    </xf>
    <xf numFmtId="177" fontId="3" fillId="2" borderId="0" xfId="0" applyNumberFormat="1" applyFont="1" applyFill="1">
      <alignment vertical="center"/>
    </xf>
    <xf numFmtId="177" fontId="3" fillId="3" borderId="0" xfId="0" applyNumberFormat="1" applyFont="1" applyFill="1">
      <alignment vertical="center"/>
    </xf>
    <xf numFmtId="177" fontId="3" fillId="4" borderId="0" xfId="0" applyNumberFormat="1" applyFont="1" applyFill="1">
      <alignment vertical="center"/>
    </xf>
    <xf numFmtId="177" fontId="2" fillId="2" borderId="3" xfId="0" applyNumberFormat="1" applyFont="1" applyFill="1" applyBorder="1">
      <alignment vertical="center"/>
    </xf>
    <xf numFmtId="177" fontId="2" fillId="4" borderId="0" xfId="0" applyNumberFormat="1" applyFont="1" applyFill="1">
      <alignment vertical="center"/>
    </xf>
    <xf numFmtId="177" fontId="0" fillId="0" borderId="2" xfId="0" applyNumberFormat="1" applyBorder="1">
      <alignment vertical="center"/>
    </xf>
    <xf numFmtId="177" fontId="2" fillId="2" borderId="1" xfId="0" applyNumberFormat="1" applyFont="1" applyFill="1" applyBorder="1">
      <alignment vertical="center"/>
    </xf>
    <xf numFmtId="177" fontId="2" fillId="4" borderId="4" xfId="0" applyNumberFormat="1" applyFont="1" applyFill="1" applyBorder="1">
      <alignment vertical="center"/>
    </xf>
    <xf numFmtId="177" fontId="0" fillId="0" borderId="1" xfId="0" applyNumberFormat="1" applyBorder="1">
      <alignment vertical="center"/>
    </xf>
    <xf numFmtId="177" fontId="4" fillId="0" borderId="0" xfId="0" applyNumberFormat="1" applyFont="1">
      <alignment vertical="center"/>
    </xf>
    <xf numFmtId="178" fontId="0" fillId="0" borderId="0" xfId="0" applyNumberFormat="1">
      <alignment vertical="center"/>
    </xf>
    <xf numFmtId="178" fontId="0" fillId="0" borderId="0" xfId="0" applyNumberFormat="1" applyAlignment="1"/>
    <xf numFmtId="177" fontId="5" fillId="0" borderId="0" xfId="0" applyNumberFormat="1" applyFont="1">
      <alignment vertical="center"/>
    </xf>
    <xf numFmtId="177" fontId="3" fillId="2" borderId="1" xfId="0" applyNumberFormat="1" applyFont="1" applyFill="1" applyBorder="1">
      <alignment vertical="center"/>
    </xf>
    <xf numFmtId="177" fontId="3" fillId="4" borderId="4" xfId="0" applyNumberFormat="1" applyFont="1" applyFill="1" applyBorder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72">
    <dxf>
      <numFmt numFmtId="177" formatCode="0_ "/>
    </dxf>
    <dxf>
      <numFmt numFmtId="177" formatCode="0_ "/>
    </dxf>
    <dxf>
      <numFmt numFmtId="177" formatCode="0_ "/>
      <border diagonalUp="0" diagonalDown="0">
        <left/>
        <right style="thick">
          <color auto="1"/>
        </right>
        <top/>
        <bottom/>
        <vertical/>
        <horizontal/>
      </border>
    </dxf>
    <dxf>
      <numFmt numFmtId="177" formatCode="0_ "/>
    </dxf>
    <dxf>
      <numFmt numFmtId="177" formatCode="0_ "/>
      <border diagonalUp="0" diagonalDown="0">
        <left style="thick">
          <color auto="1"/>
        </left>
        <right/>
        <top/>
        <bottom/>
        <vertical/>
        <horizontal/>
      </border>
    </dxf>
    <dxf>
      <numFmt numFmtId="18" formatCode="#\ ??/??"/>
      <border diagonalUp="0" diagonalDown="0">
        <left/>
        <right style="thick">
          <color auto="1"/>
        </right>
        <top/>
        <bottom/>
        <vertical/>
        <horizontal/>
      </border>
    </dxf>
    <dxf>
      <numFmt numFmtId="18" formatCode="#\ ??/??"/>
    </dxf>
    <dxf>
      <numFmt numFmtId="18" formatCode="#\ ??/??"/>
      <border diagonalUp="0" diagonalDown="0">
        <left style="thick">
          <color auto="1"/>
        </left>
        <right/>
        <top/>
        <bottom/>
        <vertical/>
        <horizontal/>
      </border>
    </dxf>
    <dxf>
      <numFmt numFmtId="18" formatCode="#\ ??/??"/>
    </dxf>
    <dxf>
      <numFmt numFmtId="18" formatCode="#\ ??/??"/>
    </dxf>
    <dxf>
      <numFmt numFmtId="18" formatCode="#\ ??/??"/>
    </dxf>
    <dxf>
      <numFmt numFmtId="18" formatCode="#\ ??/??"/>
      <border diagonalUp="0" diagonalDown="0">
        <left/>
        <right style="thin">
          <color auto="1"/>
        </right>
        <top/>
        <bottom/>
        <vertical/>
        <horizontal/>
      </border>
    </dxf>
    <dxf>
      <numFmt numFmtId="18" formatCode="#\ ??/??"/>
    </dxf>
    <dxf>
      <numFmt numFmtId="18" formatCode="#\ ??/??"/>
      <border diagonalUp="0" diagonalDown="0">
        <left style="thin">
          <color auto="1"/>
        </left>
        <right/>
        <top/>
        <bottom/>
        <vertical/>
        <horizontal/>
      </border>
    </dxf>
    <dxf>
      <numFmt numFmtId="18" formatCode="#\ ??/??"/>
    </dxf>
    <dxf>
      <numFmt numFmtId="18" formatCode="#\ ??/??"/>
    </dxf>
    <dxf>
      <numFmt numFmtId="18" formatCode="#\ ??/??"/>
    </dxf>
    <dxf>
      <numFmt numFmtId="18" formatCode="#\ ??/??"/>
      <border diagonalUp="0" diagonalDown="0">
        <left/>
        <right style="thick">
          <color auto="1"/>
        </right>
        <top/>
        <bottom/>
        <vertical/>
        <horizontal/>
      </border>
    </dxf>
    <dxf>
      <numFmt numFmtId="18" formatCode="#\ ??/??"/>
    </dxf>
    <dxf>
      <numFmt numFmtId="18" formatCode="#\ ??/??"/>
      <border diagonalUp="0" diagonalDown="0">
        <left style="thick">
          <color auto="1"/>
        </left>
        <right/>
        <top/>
        <bottom/>
        <vertical/>
        <horizontal/>
      </border>
    </dxf>
    <dxf>
      <numFmt numFmtId="18" formatCode="#\ ??/??"/>
    </dxf>
    <dxf>
      <numFmt numFmtId="18" formatCode="#\ ??/??"/>
    </dxf>
    <dxf>
      <numFmt numFmtId="18" formatCode="#\ ??/??"/>
    </dxf>
    <dxf>
      <numFmt numFmtId="177" formatCode="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2"/>
        <charset val="134"/>
        <scheme val="minor"/>
      </font>
      <numFmt numFmtId="177" formatCode="0_ "/>
    </dxf>
    <dxf>
      <numFmt numFmtId="177" formatCode="0_ "/>
    </dxf>
    <dxf>
      <numFmt numFmtId="177" formatCode="0_ "/>
      <border diagonalUp="0" diagonalDown="0">
        <left/>
        <right style="thick">
          <color auto="1"/>
        </right>
        <top/>
        <bottom/>
        <vertical/>
        <horizontal/>
      </border>
    </dxf>
    <dxf>
      <numFmt numFmtId="177" formatCode="0_ "/>
    </dxf>
    <dxf>
      <numFmt numFmtId="177" formatCode="0_ "/>
      <border diagonalUp="0" diagonalDown="0">
        <left style="thick">
          <color auto="1"/>
        </left>
        <right/>
        <top/>
        <bottom/>
        <vertical/>
        <horizontal/>
      </border>
    </dxf>
    <dxf>
      <numFmt numFmtId="18" formatCode="#\ ??/??"/>
    </dxf>
    <dxf>
      <numFmt numFmtId="18" formatCode="#\ ??/??"/>
    </dxf>
    <dxf>
      <numFmt numFmtId="18" formatCode="#\ ??/??"/>
      <border diagonalUp="0" diagonalDown="0">
        <left style="thick">
          <color auto="1"/>
        </left>
        <right/>
        <top/>
        <bottom/>
        <vertical/>
        <horizontal/>
      </border>
    </dxf>
    <dxf>
      <numFmt numFmtId="18" formatCode="#\ ??/??"/>
    </dxf>
    <dxf>
      <numFmt numFmtId="18" formatCode="#\ ??/??"/>
    </dxf>
    <dxf>
      <numFmt numFmtId="18" formatCode="#\ ??/??"/>
    </dxf>
    <dxf>
      <numFmt numFmtId="18" formatCode="#\ ??/??"/>
      <border diagonalUp="0" diagonalDown="0">
        <left/>
        <right style="thin">
          <color auto="1"/>
        </right>
        <top/>
        <bottom/>
        <vertical/>
        <horizontal/>
      </border>
    </dxf>
    <dxf>
      <numFmt numFmtId="18" formatCode="#\ ??/??"/>
    </dxf>
    <dxf>
      <numFmt numFmtId="18" formatCode="#\ ??/??"/>
    </dxf>
    <dxf>
      <numFmt numFmtId="18" formatCode="#\ ??/??"/>
      <border diagonalUp="0" diagonalDown="0">
        <left/>
        <right style="thin">
          <color auto="1"/>
        </right>
        <top/>
        <bottom/>
        <vertical/>
        <horizontal/>
      </border>
    </dxf>
    <dxf>
      <numFmt numFmtId="18" formatCode="#\ ??/??"/>
    </dxf>
    <dxf>
      <numFmt numFmtId="18" formatCode="#\ ??/??"/>
    </dxf>
    <dxf>
      <numFmt numFmtId="18" formatCode="#\ ??/??"/>
      <border diagonalUp="0" diagonalDown="0">
        <left/>
        <right style="thick">
          <color auto="1"/>
        </right>
        <top/>
        <bottom/>
        <vertical/>
        <horizontal/>
      </border>
    </dxf>
    <dxf>
      <numFmt numFmtId="18" formatCode="#\ ??/??"/>
    </dxf>
    <dxf>
      <numFmt numFmtId="18" formatCode="#\ ??/??"/>
      <border diagonalUp="0" diagonalDown="0">
        <left style="thick">
          <color auto="1"/>
        </left>
        <right/>
        <top/>
        <bottom/>
        <vertical/>
        <horizontal/>
      </border>
    </dxf>
    <dxf>
      <numFmt numFmtId="18" formatCode="#\ ??/??"/>
    </dxf>
    <dxf>
      <numFmt numFmtId="18" formatCode="#\ ??/??"/>
    </dxf>
    <dxf>
      <numFmt numFmtId="18" formatCode="#\ ??/??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  <border diagonalUp="0" diagonalDown="0">
        <left/>
        <right style="thick">
          <color auto="1"/>
        </right>
        <top/>
        <bottom/>
        <vertical/>
        <horizontal/>
      </border>
    </dxf>
    <dxf>
      <numFmt numFmtId="177" formatCode="0_ "/>
    </dxf>
    <dxf>
      <numFmt numFmtId="177" formatCode="0_ "/>
      <border diagonalUp="0" diagonalDown="0">
        <left style="thick">
          <color auto="1"/>
        </left>
        <right/>
        <top/>
        <bottom/>
        <vertical/>
        <horizontal/>
      </border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  <border diagonalUp="0" diagonalDown="0">
        <left/>
        <right style="thick">
          <color auto="1"/>
        </right>
        <top/>
        <bottom/>
        <vertical/>
        <horizontal/>
      </border>
    </dxf>
    <dxf>
      <numFmt numFmtId="177" formatCode="0_ "/>
    </dxf>
    <dxf>
      <numFmt numFmtId="177" formatCode="0_ "/>
      <border diagonalUp="0" diagonalDown="0">
        <left style="thin">
          <color auto="1"/>
        </left>
        <right/>
        <top/>
        <bottom/>
        <vertical/>
        <horizontal/>
      </border>
    </dxf>
    <dxf>
      <numFmt numFmtId="177" formatCode="0_ "/>
      <border diagonalUp="0" diagonalDown="0">
        <left/>
        <right style="thin">
          <color auto="1"/>
        </right>
        <top/>
        <bottom/>
        <vertical/>
        <horizontal/>
      </border>
    </dxf>
    <dxf>
      <numFmt numFmtId="177" formatCode="0_ "/>
    </dxf>
    <dxf>
      <numFmt numFmtId="177" formatCode="0_ "/>
      <border diagonalUp="0" diagonalDown="0">
        <left style="thin">
          <color auto="1"/>
        </left>
        <right/>
        <top/>
        <bottom/>
        <vertical/>
        <horizontal/>
      </border>
    </dxf>
    <dxf>
      <numFmt numFmtId="177" formatCode="0_ "/>
      <border diagonalUp="0" diagonalDown="0">
        <left/>
        <right style="thin">
          <color auto="1"/>
        </right>
        <top/>
        <bottom/>
        <vertical/>
        <horizontal/>
      </border>
    </dxf>
    <dxf>
      <numFmt numFmtId="177" formatCode="0_ "/>
    </dxf>
    <dxf>
      <numFmt numFmtId="177" formatCode="0_ "/>
      <border diagonalUp="0" diagonalDown="0">
        <left style="thick">
          <color auto="1"/>
        </left>
        <right/>
        <top/>
        <bottom/>
        <vertical/>
        <horizontal/>
      </border>
    </dxf>
    <dxf>
      <numFmt numFmtId="177" formatCode="0_ "/>
      <border diagonalUp="0" diagonalDown="0">
        <left/>
        <right style="thick">
          <color auto="1"/>
        </right>
        <top/>
        <bottom/>
        <vertical/>
        <horizontal/>
      </border>
    </dxf>
    <dxf>
      <numFmt numFmtId="177" formatCode="0_ "/>
    </dxf>
    <dxf>
      <numFmt numFmtId="177" formatCode="0_ "/>
      <border diagonalUp="0" diagonalDown="0">
        <left style="thick">
          <color auto="1"/>
        </left>
        <right/>
        <top/>
        <bottom/>
        <vertical/>
        <horizontal/>
      </border>
    </dxf>
    <dxf>
      <numFmt numFmtId="176" formatCode="#\ ???/???"/>
    </dxf>
    <dxf>
      <numFmt numFmtId="176" formatCode="#\ ???/???"/>
    </dxf>
    <dxf>
      <numFmt numFmtId="176" formatCode="#\ ???/???"/>
    </dxf>
    <dxf>
      <numFmt numFmtId="178" formatCode="0;[Red]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24EC9F-D5D1-45A6-813A-A46AC501E5E2}" name="tblHelmet" displayName="tblHelmet" ref="A1:W26" totalsRowShown="0" headerRowDxfId="71">
  <autoFilter ref="A1:W26" xr:uid="{5E24EC9F-D5D1-45A6-813A-A46AC501E5E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</autoFilter>
  <tableColumns count="23">
    <tableColumn id="1" xr3:uid="{DED8ABB1-7FA1-497F-8881-86B33B58C53A}" name="Name" dataDxfId="70"/>
    <tableColumn id="2" xr3:uid="{CA1BEEE4-28F2-463B-BCBD-C4E7D136711E}" name="eng" dataDxfId="69"/>
    <tableColumn id="3" xr3:uid="{7F7F2A06-78A3-4055-ACF4-7D54B69BE84A}" name="Drop" dataDxfId="68"/>
    <tableColumn id="4" xr3:uid="{55383B40-39E7-46D3-8077-6E9A752A6EFE}" name="Base_phy" dataDxfId="67"/>
    <tableColumn id="5" xr3:uid="{A479C2C7-D2AB-4207-9010-B6028F26845A}" name="Base_mag" dataDxfId="66"/>
    <tableColumn id="6" xr3:uid="{B48057C7-0C93-4C91-8BA1-1DAAF53D7BEC}" name="Base_sta" dataDxfId="65"/>
    <tableColumn id="7" xr3:uid="{B9032B15-E837-4B6B-9629-17C05115142B}" name="phy_cor" dataDxfId="64"/>
    <tableColumn id="8" xr3:uid="{20D953FE-F40F-4CBC-B52B-C11734F7FFA0}" name="phy_spi" dataDxfId="63"/>
    <tableColumn id="9" xr3:uid="{720DBF52-690E-440E-8A0F-AFC5DA2D8304}" name="phy_gra" dataDxfId="62"/>
    <tableColumn id="10" xr3:uid="{BE922186-B756-4FED-9BE3-E6A65FBA742B}" name="mag_cor" dataDxfId="61"/>
    <tableColumn id="11" xr3:uid="{F048F063-903E-4A1F-998E-BEB9D5A4FED6}" name="mag_spi" dataDxfId="60"/>
    <tableColumn id="12" xr3:uid="{A925E8A4-3075-4D91-9616-AA85EB916111}" name="mag_gra" dataDxfId="59"/>
    <tableColumn id="13" xr3:uid="{E7323E80-288D-4E66-B54C-4F3FBE6AD203}" name="sta_cor" dataDxfId="58"/>
    <tableColumn id="14" xr3:uid="{CC06FEC5-1823-4887-88C6-C35CE59CF473}" name="sta_spi" dataDxfId="57"/>
    <tableColumn id="15" xr3:uid="{0FA94D7F-D012-4727-A440-6B6C3CA197E8}" name="sta_gra" dataDxfId="56"/>
    <tableColumn id="16" xr3:uid="{0F8C1D92-777B-4A31-90C6-3B6DD29C4693}" name="min_cor" dataDxfId="55"/>
    <tableColumn id="17" xr3:uid="{20FA06BE-2D91-4CF7-9317-EC710972C1BA}" name="min_spi" dataDxfId="54"/>
    <tableColumn id="18" xr3:uid="{57DE4D2F-F2EF-46E4-8D2D-E7346D0901A9}" name="min_gra" dataDxfId="53"/>
    <tableColumn id="19" xr3:uid="{4F6FD523-577D-4F80-92E5-5B9F409AC576}" name="phy" dataDxfId="52">
      <calculatedColumnFormula>IF(tblHelmet[[#This Row],[Name]]="","",
IF( AND(
        Sheet1!$A$2 &gt;= tblHelmet[[#This Row],[min_cor]],
        Sheet1!$B$2 &gt;= tblHelmet[[#This Row],[min_spi]],
        Sheet1!$C$2 &gt;= tblHelmet[[#This Row],[min_gra]]
    ),
    _xlfn.FLOOR.MATH(
        value*tblHelmet[[#This Row],[phy_cor]]*Sheet1!$A$2 +
        value*tblHelmet[[#This Row],[phy_spi]]*Sheet1!$B$2 +
        value*tblHelmet[[#This Row],[phy_gra]]*Sheet1!$C$2
    ) + tblHelmet[[#This Row],[Base_phy]],
    tblHelmet[[#This Row],[Base_phy]]
))</calculatedColumnFormula>
    </tableColumn>
    <tableColumn id="20" xr3:uid="{792518EB-5C49-4B2A-8292-B6BE08F22B51}" name="mag" dataDxfId="51">
      <calculatedColumnFormula>IF(tblHelmet[[#This Row],[Name]]="","",
IF(AND(Sheet1!$A$2&gt;=tblHelmet[[#This Row],[min_cor]],
       Sheet1!$B$2&gt;=tblHelmet[[#This Row],[min_spi]],
       Sheet1!$C$2&gt;=tblHelmet[[#This Row],[min_gra]]),
   _xlfn.FLOOR.MATH(value*tblHelmet[[#This Row],[mag_cor]]*Sheet1!$A$2 +
              value*tblHelmet[[#This Row],[mag_spi]]*Sheet1!$B$2 +
              value*tblHelmet[[#This Row],[mag_gra]]*Sheet1!$C$2)
   + tblHelmet[[#This Row],[Base_mag]],
   tblHelmet[[#This Row],[Base_mag]]))</calculatedColumnFormula>
    </tableColumn>
    <tableColumn id="21" xr3:uid="{9DFD1925-53D4-4F6C-8D20-A135BE9AC276}" name="sta" dataDxfId="50">
      <calculatedColumnFormula>IF(tblHelmet[[#This Row],[Name]]="","",
IF(AND(Sheet1!$A$2&gt;=tblHelmet[[#This Row],[min_cor]],
       Sheet1!$B$2&gt;=tblHelmet[[#This Row],[min_spi]],
       Sheet1!$C$2&gt;=tblHelmet[[#This Row],[min_gra]]),
   _xlfn.FLOOR.MATH(value*tblHelmet[[#This Row],[sta_cor]]*Sheet1!$A$2 +
              value*tblHelmet[[#This Row],[sta_spi]]*Sheet1!$B$2 +
              value*tblHelmet[[#This Row],[sta_gra]]*Sheet1!$C$2)
   + tblHelmet[[#This Row],[Base_sta]],
   tblHelmet[[#This Row],[Base_sta]]))</calculatedColumnFormula>
    </tableColumn>
    <tableColumn id="22" xr3:uid="{0BC5EE87-1779-4483-ACC9-783CC49093D2}" name="Score" dataDxfId="49">
      <calculatedColumnFormula>IF(tblHelmet[[#This Row],[Name]]="","",
tblHelmet[[#This Row],[phy]]*Sheet1!$E$2 +
tblHelmet[[#This Row],[mag]]*Sheet1!$F$2 +
tblHelmet[[#This Row],[sta]]*Sheet1!$G$2)</calculatedColumnFormula>
    </tableColumn>
    <tableColumn id="23" xr3:uid="{EFDA5FD7-83B8-4BB2-8050-5A72D2E08444}" name="Rank" dataDxfId="48">
      <calculatedColumnFormula>IF(tblHelmet[[#This Row],[Name]]="","",
_xlfn.RANK.EQ(tblHelmet[[#This Row],[Score]], tblHelmet[Score], 0))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DC7CA8A-0184-4BDA-86A1-BECAA55CCD39}" name="tblBodyArmor" displayName="tblBodyArmor" ref="A1:W21" totalsRowShown="0" headerRowDxfId="47">
  <autoFilter ref="A1:W21" xr:uid="{7DC7CA8A-0184-4BDA-86A1-BECAA55CCD3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</autoFilter>
  <tableColumns count="23">
    <tableColumn id="1" xr3:uid="{CA0411A5-863D-4375-AEAD-568F3A8C7416}" name="Name" dataDxfId="46"/>
    <tableColumn id="2" xr3:uid="{0377AD99-9E9E-46ED-BA6F-3DCE85DED645}" name="eng" dataDxfId="45"/>
    <tableColumn id="3" xr3:uid="{35BDFB03-672C-4C11-A0D1-DBB6E69A6FAE}" name="Drop" dataDxfId="44"/>
    <tableColumn id="4" xr3:uid="{81D8F211-FE74-409B-83AC-E1A24E2713D4}" name="Base_phy" dataDxfId="43"/>
    <tableColumn id="5" xr3:uid="{FBE00E97-208E-4435-A45C-E67F2B49353C}" name="Base_mag" dataDxfId="42"/>
    <tableColumn id="6" xr3:uid="{29503DE9-946E-4325-829F-6CFD5E5D9229}" name="Base_sta" dataDxfId="41"/>
    <tableColumn id="7" xr3:uid="{71ED3994-8F82-47A0-B0D8-DF7FDB890658}" name="phy_cor" dataDxfId="40"/>
    <tableColumn id="8" xr3:uid="{55B3709E-ADC2-4326-945E-70C7093590CD}" name="phy_spi" dataDxfId="39"/>
    <tableColumn id="9" xr3:uid="{6DEAD055-02DA-4119-966F-51D00F8E72D9}" name="phy_gra" dataDxfId="38"/>
    <tableColumn id="10" xr3:uid="{325C073B-23A1-4C3D-9CC5-6F3EDD28EF28}" name="mag_cor" dataDxfId="37"/>
    <tableColumn id="11" xr3:uid="{DB308232-BCFE-4C03-9B0D-EC23686759E4}" name="mag_spi" dataDxfId="36"/>
    <tableColumn id="12" xr3:uid="{B092B19D-913D-4E71-BE93-49EAEC7CA656}" name="mag_gra" dataDxfId="35"/>
    <tableColumn id="13" xr3:uid="{A422CCDC-5097-417D-A530-B1C19C84DD47}" name="sta_cor" dataDxfId="34"/>
    <tableColumn id="14" xr3:uid="{C20E5DDB-C10D-4C5C-84BC-990CDB7B8793}" name="sta_spi" dataDxfId="33"/>
    <tableColumn id="15" xr3:uid="{23CBA356-6458-4384-A983-D90A93854D19}" name="sta_gra" dataDxfId="32"/>
    <tableColumn id="16" xr3:uid="{76FDA592-AD7B-4146-A204-7038320325D4}" name="min_cor" dataDxfId="31"/>
    <tableColumn id="17" xr3:uid="{35487F45-501B-4D96-B2C2-9B5D61BB3F6E}" name="min_spi" dataDxfId="30"/>
    <tableColumn id="18" xr3:uid="{80C067A9-48C2-4A32-ACAF-BDD10DB3B171}" name="min_gra" dataDxfId="29"/>
    <tableColumn id="19" xr3:uid="{21E417BB-F8E6-47FD-AE10-F8DAD8027DE7}" name="phy" dataDxfId="28">
      <calculatedColumnFormula>IF(tblBodyArmor[[#This Row],[Name]]="","",
IF( AND(
        Sheet1!$A$2 &gt;= tblBodyArmor[[#This Row],[min_cor]],
        Sheet1!$B$2 &gt;= tblBodyArmor[[#This Row],[min_spi]],
        Sheet1!$C$2 &gt;= tblBodyArmor[[#This Row],[min_gra]]
    ),
    _xlfn.FLOOR.MATH(
        value*tblBodyArmor[[#This Row],[phy_cor]]*Sheet1!$A$2 +
        value*tblBodyArmor[[#This Row],[phy_spi]]*Sheet1!$B$2 +
        value*tblBodyArmor[[#This Row],[phy_gra]]*Sheet1!$C$2
    ) + tblBodyArmor[[#This Row],[Base_phy]],
    tblBodyArmor[[#This Row],[Base_phy]]
))</calculatedColumnFormula>
    </tableColumn>
    <tableColumn id="20" xr3:uid="{32170EC7-517D-43F7-A148-2F17CD8E232C}" name="mag" dataDxfId="27">
      <calculatedColumnFormula>IF(tblBodyArmor[[#This Row],[Name]]="","",
IF(AND(Sheet1!$A$2&gt;=tblBodyArmor[[#This Row],[min_cor]],
       Sheet1!$B$2&gt;=tblBodyArmor[[#This Row],[min_spi]],
       Sheet1!$C$2&gt;=tblBodyArmor[[#This Row],[min_gra]]),
   _xlfn.FLOOR.MATH(value*tblBodyArmor[[#This Row],[mag_cor]]*Sheet1!$A$2 +
              value*tblBodyArmor[[#This Row],[mag_spi]]*Sheet1!$B$2 +
              value*tblBodyArmor[[#This Row],[mag_gra]]*Sheet1!$C$2)
   + tblBodyArmor[[#This Row],[Base_mag]],
   tblBodyArmor[[#This Row],[Base_mag]]))</calculatedColumnFormula>
    </tableColumn>
    <tableColumn id="21" xr3:uid="{1B5E5040-EBB7-411A-A16D-E6EE03899FCD}" name="sta" dataDxfId="26">
      <calculatedColumnFormula>IF(tblBodyArmor[[#This Row],[Name]]="","",
IF(AND(Sheet1!$A$2&gt;=tblBodyArmor[[#This Row],[min_cor]],
       Sheet1!$B$2&gt;=tblBodyArmor[[#This Row],[min_spi]],
       Sheet1!$C$2&gt;=tblBodyArmor[[#This Row],[min_gra]]),
   _xlfn.FLOOR.MATH(value*tblBodyArmor[[#This Row],[sta_cor]]*Sheet1!$A$2 +
              value*tblBodyArmor[[#This Row],[sta_spi]]*Sheet1!$B$2 +
              value*tblBodyArmor[[#This Row],[sta_gra]]*Sheet1!$C$2)
   + tblBodyArmor[[#This Row],[Base_sta]],
   tblBodyArmor[[#This Row],[Base_sta]]))</calculatedColumnFormula>
    </tableColumn>
    <tableColumn id="22" xr3:uid="{107F328C-613B-4E85-B58E-D62E4AF7A019}" name="Score" dataDxfId="25">
      <calculatedColumnFormula>IF(tblBodyArmor[[#This Row],[Name]]="","",
tblBodyArmor[[#This Row],[phy]]*Sheet1!$E$2 +
tblBodyArmor[[#This Row],[mag]]*Sheet1!$F$2 +
tblBodyArmor[[#This Row],[sta]]*Sheet1!$G$2)</calculatedColumnFormula>
    </tableColumn>
    <tableColumn id="23" xr3:uid="{C72CEE7F-69E4-4AC8-AE88-FAFE794AB6A3}" name="Rank" dataDxfId="24">
      <calculatedColumnFormula>IF(tblBodyArmor[[#This Row],[Name]]="","",
_xlfn.RANK.EQ(tblBodyArmor[[#This Row],[Score]], tblBodyArmor[Score], 0))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94EDA71-7352-41EA-8FFB-BB3B419EF1B7}" name="tblBoots" displayName="tblBoots" ref="A1:W21" totalsRowShown="0" headerRowDxfId="23">
  <autoFilter ref="A1:W21" xr:uid="{694EDA71-7352-41EA-8FFB-BB3B419EF1B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</autoFilter>
  <tableColumns count="23">
    <tableColumn id="1" xr3:uid="{CB958544-18C4-407B-A6AF-A820A6A834D1}" name="Name" dataDxfId="22"/>
    <tableColumn id="2" xr3:uid="{41E94B03-1A85-462E-A7DA-510DCF706BFB}" name="eng" dataDxfId="21"/>
    <tableColumn id="3" xr3:uid="{82961B4F-A13F-403E-AD27-7D90A7C18D30}" name="Drop" dataDxfId="20"/>
    <tableColumn id="4" xr3:uid="{4EF673A9-5956-4228-A669-6284CB81B161}" name="Base_phy" dataDxfId="19"/>
    <tableColumn id="5" xr3:uid="{3FDFE1CF-4122-4306-9561-005FD5772EA2}" name="Base_mag" dataDxfId="18"/>
    <tableColumn id="6" xr3:uid="{BB52210D-0764-4209-B319-889B50BEEC00}" name="Base_sta" dataDxfId="17"/>
    <tableColumn id="7" xr3:uid="{92BDFF49-CEA8-4074-B130-72F79141193B}" name="phy_cor" dataDxfId="16"/>
    <tableColumn id="8" xr3:uid="{C214860C-A480-48EE-8BDE-2A4BE3FE4B4F}" name="phy_spi" dataDxfId="15"/>
    <tableColumn id="9" xr3:uid="{1F2419F8-B710-4791-B5B3-8B6EAB3E560B}" name="phy_gra" dataDxfId="14"/>
    <tableColumn id="10" xr3:uid="{D7F6CED4-E688-4AF3-9BCF-2A044CB8B778}" name="mag_cor" dataDxfId="13"/>
    <tableColumn id="11" xr3:uid="{7B4CC0DB-880B-4EB7-864B-D0FEEE8DF46F}" name="mag_spi" dataDxfId="12"/>
    <tableColumn id="12" xr3:uid="{894EACAE-9B0C-43DC-AE97-CD7EB731AA5A}" name="mag_gra" dataDxfId="11"/>
    <tableColumn id="13" xr3:uid="{D4C4A764-F7F9-45D2-A6AE-96227412488E}" name="sta_cor" dataDxfId="10"/>
    <tableColumn id="14" xr3:uid="{80B262A1-5F4E-4B2C-B634-2997E8E1F102}" name="sta_spi" dataDxfId="9"/>
    <tableColumn id="15" xr3:uid="{9E29B0A9-9BC8-4CA9-9A77-A4C866C60942}" name="sta_gra" dataDxfId="8"/>
    <tableColumn id="16" xr3:uid="{607FA4E3-958D-4112-8888-D1AF012A1FC9}" name="min_cor" dataDxfId="7"/>
    <tableColumn id="17" xr3:uid="{D29B4637-8D79-4455-8838-2926321998DB}" name="min_spi" dataDxfId="6"/>
    <tableColumn id="18" xr3:uid="{0000327E-94DA-45C3-85ED-C8D2B0189385}" name="min_gra" dataDxfId="5"/>
    <tableColumn id="19" xr3:uid="{66FAF265-62DB-468C-AA47-872E68E8C1A8}" name="phy" dataDxfId="4">
      <calculatedColumnFormula>IF(tblBoots[[#This Row],[Name]]="","",
IF( AND(
        Sheet1!$A$2 &gt;= tblBoots[[#This Row],[min_cor]],
        Sheet1!$B$2 &gt;= tblBoots[[#This Row],[min_spi]],
        Sheet1!$C$2 &gt;= tblBoots[[#This Row],[min_gra]]
    ),
    _xlfn.FLOOR.MATH(
        value*tblBoots[[#This Row],[phy_cor]]*Sheet1!$A$2 +
        value*tblBoots[[#This Row],[phy_spi]]*Sheet1!$B$2 +
        value*tblBoots[[#This Row],[phy_gra]]*Sheet1!$C$2
    ) + tblBoots[[#This Row],[Base_phy]],
    tblBoots[[#This Row],[Base_phy]]
))</calculatedColumnFormula>
    </tableColumn>
    <tableColumn id="20" xr3:uid="{C5222995-7E48-4D9E-B136-4C15044DCA23}" name="mag" dataDxfId="3">
      <calculatedColumnFormula>IF(tblBoots[[#This Row],[Name]]="","",
IF(AND(Sheet1!$A$2&gt;=tblBoots[[#This Row],[min_cor]],
       Sheet1!$B$2&gt;=tblBoots[[#This Row],[min_spi]],
       Sheet1!$C$2&gt;=tblBoots[[#This Row],[min_gra]]),
   _xlfn.FLOOR.MATH(value*tblBoots[[#This Row],[mag_cor]]*Sheet1!$A$2 +
              value*tblBoots[[#This Row],[mag_spi]]*Sheet1!$B$2 +
              value*tblBoots[[#This Row],[mag_gra]]*Sheet1!$C$2)
   + tblBoots[[#This Row],[Base_mag]],
   tblBoots[[#This Row],[Base_mag]]))</calculatedColumnFormula>
    </tableColumn>
    <tableColumn id="21" xr3:uid="{A16576B9-0D19-43DE-B536-0F3F93A6545F}" name="sta" dataDxfId="2">
      <calculatedColumnFormula>IF(tblBoots[[#This Row],[Name]]="","",
IF(AND(Sheet1!$A$2&gt;=tblBoots[[#This Row],[min_cor]],
       Sheet1!$B$2&gt;=tblBoots[[#This Row],[min_spi]],
       Sheet1!$C$2&gt;=tblBoots[[#This Row],[min_gra]]),
   _xlfn.FLOOR.MATH(value*tblBoots[[#This Row],[sta_cor]]*Sheet1!$A$2 +
              value*tblBoots[[#This Row],[sta_spi]]*Sheet1!$B$2 +
              value*tblBoots[[#This Row],[sta_gra]]*Sheet1!$C$2)
   + tblBoots[[#This Row],[Base_sta]],
   tblBoots[[#This Row],[Base_sta]]))</calculatedColumnFormula>
    </tableColumn>
    <tableColumn id="22" xr3:uid="{7B5CC3E0-D971-4736-917A-3A79759FCB70}" name="Score" dataDxfId="1">
      <calculatedColumnFormula>IF(tblBoots[[#This Row],[Name]]="","",
tblBoots[[#This Row],[phy]]*Sheet1!$E$2 +
tblBoots[[#This Row],[mag]]*Sheet1!$F$2 +
tblBoots[[#This Row],[sta]]*Sheet1!$G$2)</calculatedColumnFormula>
    </tableColumn>
    <tableColumn id="23" xr3:uid="{8BB8163D-AA93-4B39-9B89-69C823270AE6}" name="Rank" dataDxfId="0">
      <calculatedColumnFormula>IF(tblBoots[[#This Row],[Name]]="","",
_xlfn.RANK.EQ(tblBoots[[#This Row],[Score]], tblBoots[Score], 0))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BF87F-85B5-4D5A-832D-8DF4A7B3CAF7}">
  <dimension ref="A1:W26"/>
  <sheetViews>
    <sheetView topLeftCell="A7" zoomScale="55" zoomScaleNormal="55" workbookViewId="0">
      <selection activeCell="D30" sqref="D30"/>
    </sheetView>
  </sheetViews>
  <sheetFormatPr defaultRowHeight="14" x14ac:dyDescent="0.3"/>
  <cols>
    <col min="1" max="1" width="20.58203125" style="6" customWidth="1"/>
    <col min="2" max="2" width="20.6640625" style="6" customWidth="1"/>
    <col min="3" max="3" width="20.58203125" style="6" customWidth="1"/>
    <col min="4" max="4" width="10.4140625" style="8" customWidth="1"/>
    <col min="5" max="5" width="10.58203125" style="7" customWidth="1"/>
    <col min="6" max="6" width="10.4140625" style="9" customWidth="1"/>
    <col min="7" max="7" width="10.4140625" style="8" customWidth="1"/>
    <col min="8" max="8" width="9.33203125" style="7" customWidth="1"/>
    <col min="9" max="9" width="9.33203125" style="18" customWidth="1"/>
    <col min="10" max="10" width="9.5" style="21" customWidth="1"/>
    <col min="11" max="11" width="9.33203125" style="7" customWidth="1"/>
    <col min="12" max="12" width="9.6640625" style="18" customWidth="1"/>
    <col min="13" max="13" width="9.33203125" style="21" customWidth="1"/>
    <col min="14" max="14" width="9.33203125" style="7" customWidth="1"/>
    <col min="15" max="15" width="9.33203125" style="9" customWidth="1"/>
    <col min="16" max="18" width="10.4140625" style="7" customWidth="1"/>
    <col min="19" max="19" width="11.9140625" style="8" customWidth="1"/>
    <col min="20" max="20" width="10.4140625" style="7" bestFit="1" customWidth="1"/>
    <col min="21" max="21" width="10.4140625" style="9" bestFit="1" customWidth="1"/>
    <col min="22" max="22" width="10.4140625" style="7" customWidth="1"/>
    <col min="23" max="23" width="9.33203125" style="7" customWidth="1"/>
    <col min="24" max="16384" width="8.6640625" style="6"/>
  </cols>
  <sheetData>
    <row r="1" spans="1:23" x14ac:dyDescent="0.3">
      <c r="A1" s="23" t="s">
        <v>0</v>
      </c>
      <c r="B1" s="23" t="s">
        <v>20</v>
      </c>
      <c r="C1" s="23" t="s">
        <v>1</v>
      </c>
      <c r="D1" s="8" t="s">
        <v>13</v>
      </c>
      <c r="E1" s="7" t="s">
        <v>2</v>
      </c>
      <c r="F1" s="9" t="s">
        <v>3</v>
      </c>
      <c r="G1" s="16" t="s">
        <v>19</v>
      </c>
      <c r="H1" s="11" t="s">
        <v>14</v>
      </c>
      <c r="I1" s="12" t="s">
        <v>15</v>
      </c>
      <c r="J1" s="19" t="s">
        <v>4</v>
      </c>
      <c r="K1" s="11" t="s">
        <v>5</v>
      </c>
      <c r="L1" s="12" t="s">
        <v>6</v>
      </c>
      <c r="M1" s="26" t="s">
        <v>7</v>
      </c>
      <c r="N1" s="14" t="s">
        <v>8</v>
      </c>
      <c r="O1" s="27" t="s">
        <v>9</v>
      </c>
      <c r="P1" s="10" t="s">
        <v>10</v>
      </c>
      <c r="Q1" s="11" t="s">
        <v>11</v>
      </c>
      <c r="R1" s="17" t="s">
        <v>12</v>
      </c>
      <c r="S1" s="8" t="s">
        <v>155</v>
      </c>
      <c r="T1" s="7" t="s">
        <v>156</v>
      </c>
      <c r="U1" s="9" t="s">
        <v>157</v>
      </c>
      <c r="V1" s="7" t="s">
        <v>161</v>
      </c>
      <c r="W1" s="7" t="s">
        <v>171</v>
      </c>
    </row>
    <row r="2" spans="1:23" x14ac:dyDescent="0.3">
      <c r="A2" s="23" t="s">
        <v>111</v>
      </c>
      <c r="B2" s="23" t="s">
        <v>70</v>
      </c>
      <c r="C2" s="23" t="s">
        <v>48</v>
      </c>
      <c r="D2" s="8">
        <v>4</v>
      </c>
      <c r="E2" s="7">
        <v>1</v>
      </c>
      <c r="F2" s="9">
        <v>2</v>
      </c>
      <c r="G2" s="8">
        <v>3</v>
      </c>
      <c r="J2" s="21">
        <v>1</v>
      </c>
      <c r="M2" s="21">
        <v>2</v>
      </c>
      <c r="P2" s="7">
        <v>22</v>
      </c>
      <c r="S2" s="8">
        <f>IF(tblHelmet[[#This Row],[Name]]="","",
IF( AND(
        Sheet1!$A$2 &gt;= tblHelmet[[#This Row],[min_cor]],
        Sheet1!$B$2 &gt;= tblHelmet[[#This Row],[min_spi]],
        Sheet1!$C$2 &gt;= tblHelmet[[#This Row],[min_gra]]
    ),
    _xlfn.FLOOR.MATH(
        value*tblHelmet[[#This Row],[phy_cor]]*Sheet1!$A$2 +
        value*tblHelmet[[#This Row],[phy_spi]]*Sheet1!$B$2 +
        value*tblHelmet[[#This Row],[phy_gra]]*Sheet1!$C$2
    ) + tblHelmet[[#This Row],[Base_phy]],
    tblHelmet[[#This Row],[Base_phy]]
))</f>
        <v>4</v>
      </c>
      <c r="T2" s="7">
        <f>IF(tblHelmet[[#This Row],[Name]]="","",
IF(AND(Sheet1!$A$2&gt;=tblHelmet[[#This Row],[min_cor]],
       Sheet1!$B$2&gt;=tblHelmet[[#This Row],[min_spi]],
       Sheet1!$C$2&gt;=tblHelmet[[#This Row],[min_gra]]),
   _xlfn.FLOOR.MATH(value*tblHelmet[[#This Row],[mag_cor]]*Sheet1!$A$2 +
              value*tblHelmet[[#This Row],[mag_spi]]*Sheet1!$B$2 +
              value*tblHelmet[[#This Row],[mag_gra]]*Sheet1!$C$2)
   + tblHelmet[[#This Row],[Base_mag]],
   tblHelmet[[#This Row],[Base_mag]]))</f>
        <v>1</v>
      </c>
      <c r="U2" s="9">
        <f>IF(tblHelmet[[#This Row],[Name]]="","",
IF(AND(Sheet1!$A$2&gt;=tblHelmet[[#This Row],[min_cor]],
       Sheet1!$B$2&gt;=tblHelmet[[#This Row],[min_spi]],
       Sheet1!$C$2&gt;=tblHelmet[[#This Row],[min_gra]]),
   _xlfn.FLOOR.MATH(value*tblHelmet[[#This Row],[sta_cor]]*Sheet1!$A$2 +
              value*tblHelmet[[#This Row],[sta_spi]]*Sheet1!$B$2 +
              value*tblHelmet[[#This Row],[sta_gra]]*Sheet1!$C$2)
   + tblHelmet[[#This Row],[Base_sta]],
   tblHelmet[[#This Row],[Base_sta]]))</f>
        <v>2</v>
      </c>
      <c r="V2" s="7">
        <f>IF(tblHelmet[[#This Row],[Name]]="","",
tblHelmet[[#This Row],[phy]]*Sheet1!$E$2 +
tblHelmet[[#This Row],[mag]]*Sheet1!$F$2 +
tblHelmet[[#This Row],[sta]]*Sheet1!$G$2)</f>
        <v>7</v>
      </c>
      <c r="W2" s="7">
        <f>IF(tblHelmet[[#This Row],[Name]]="","",
_xlfn.RANK.EQ(tblHelmet[[#This Row],[Score]], tblHelmet[Score], 0))</f>
        <v>9</v>
      </c>
    </row>
    <row r="3" spans="1:23" x14ac:dyDescent="0.3">
      <c r="A3" s="23" t="s">
        <v>125</v>
      </c>
      <c r="B3" s="23" t="s">
        <v>71</v>
      </c>
      <c r="C3" s="23" t="s">
        <v>38</v>
      </c>
      <c r="D3" s="8">
        <v>3</v>
      </c>
      <c r="E3" s="7">
        <f>2</f>
        <v>2</v>
      </c>
      <c r="F3" s="9">
        <v>3</v>
      </c>
      <c r="G3" s="8">
        <v>1</v>
      </c>
      <c r="I3" s="18">
        <v>3</v>
      </c>
      <c r="J3" s="21">
        <v>1</v>
      </c>
      <c r="L3" s="18">
        <v>1</v>
      </c>
      <c r="O3" s="9">
        <v>3</v>
      </c>
      <c r="R3" s="7">
        <v>20</v>
      </c>
      <c r="S3" s="8">
        <f>IF(tblHelmet[[#This Row],[Name]]="","",
IF( AND(
        Sheet1!$A$2 &gt;= tblHelmet[[#This Row],[min_cor]],
        Sheet1!$B$2 &gt;= tblHelmet[[#This Row],[min_spi]],
        Sheet1!$C$2 &gt;= tblHelmet[[#This Row],[min_gra]]
    ),
    _xlfn.FLOOR.MATH(
        value*tblHelmet[[#This Row],[phy_cor]]*Sheet1!$A$2 +
        value*tblHelmet[[#This Row],[phy_spi]]*Sheet1!$B$2 +
        value*tblHelmet[[#This Row],[phy_gra]]*Sheet1!$C$2
    ) + tblHelmet[[#This Row],[Base_phy]],
    tblHelmet[[#This Row],[Base_phy]]
))</f>
        <v>17</v>
      </c>
      <c r="T3" s="7">
        <f>IF(tblHelmet[[#This Row],[Name]]="","",
IF(AND(Sheet1!$A$2&gt;=tblHelmet[[#This Row],[min_cor]],
       Sheet1!$B$2&gt;=tblHelmet[[#This Row],[min_spi]],
       Sheet1!$C$2&gt;=tblHelmet[[#This Row],[min_gra]]),
   _xlfn.FLOOR.MATH(value*tblHelmet[[#This Row],[mag_cor]]*Sheet1!$A$2 +
              value*tblHelmet[[#This Row],[mag_spi]]*Sheet1!$B$2 +
              value*tblHelmet[[#This Row],[mag_gra]]*Sheet1!$C$2)
   + tblHelmet[[#This Row],[Base_mag]],
   tblHelmet[[#This Row],[Base_mag]]))</f>
        <v>7</v>
      </c>
      <c r="U3" s="9">
        <f>IF(tblHelmet[[#This Row],[Name]]="","",
IF(AND(Sheet1!$A$2&gt;=tblHelmet[[#This Row],[min_cor]],
       Sheet1!$B$2&gt;=tblHelmet[[#This Row],[min_spi]],
       Sheet1!$C$2&gt;=tblHelmet[[#This Row],[min_gra]]),
   _xlfn.FLOOR.MATH(value*tblHelmet[[#This Row],[sta_cor]]*Sheet1!$A$2 +
              value*tblHelmet[[#This Row],[sta_spi]]*Sheet1!$B$2 +
              value*tblHelmet[[#This Row],[sta_gra]]*Sheet1!$C$2)
   + tblHelmet[[#This Row],[Base_sta]],
   tblHelmet[[#This Row],[Base_sta]]))</f>
        <v>16</v>
      </c>
      <c r="V3" s="7">
        <f>IF(tblHelmet[[#This Row],[Name]]="","",
tblHelmet[[#This Row],[phy]]*Sheet1!$E$2 +
tblHelmet[[#This Row],[mag]]*Sheet1!$F$2 +
tblHelmet[[#This Row],[sta]]*Sheet1!$G$2)</f>
        <v>40</v>
      </c>
      <c r="W3" s="7">
        <f>IF(tblHelmet[[#This Row],[Name]]="","",
_xlfn.RANK.EQ(tblHelmet[[#This Row],[Score]], tblHelmet[Score], 0))</f>
        <v>1</v>
      </c>
    </row>
    <row r="4" spans="1:23" x14ac:dyDescent="0.3">
      <c r="A4" s="23" t="s">
        <v>117</v>
      </c>
      <c r="B4" s="23" t="s">
        <v>72</v>
      </c>
      <c r="C4" s="23" t="s">
        <v>34</v>
      </c>
      <c r="D4" s="8">
        <v>3</v>
      </c>
      <c r="E4" s="7">
        <v>1</v>
      </c>
      <c r="F4" s="9">
        <v>3</v>
      </c>
      <c r="G4" s="8">
        <v>3</v>
      </c>
      <c r="H4" s="7">
        <v>1</v>
      </c>
      <c r="J4" s="21">
        <v>1</v>
      </c>
      <c r="K4" s="7">
        <v>2</v>
      </c>
      <c r="M4" s="21">
        <v>1</v>
      </c>
      <c r="N4" s="7">
        <v>1</v>
      </c>
      <c r="P4" s="7">
        <v>20</v>
      </c>
      <c r="S4" s="8">
        <f>IF(tblHelmet[[#This Row],[Name]]="","",
IF( AND(
        Sheet1!$A$2 &gt;= tblHelmet[[#This Row],[min_cor]],
        Sheet1!$B$2 &gt;= tblHelmet[[#This Row],[min_spi]],
        Sheet1!$C$2 &gt;= tblHelmet[[#This Row],[min_gra]]
    ),
    _xlfn.FLOOR.MATH(
        value*tblHelmet[[#This Row],[phy_cor]]*Sheet1!$A$2 +
        value*tblHelmet[[#This Row],[phy_spi]]*Sheet1!$B$2 +
        value*tblHelmet[[#This Row],[phy_gra]]*Sheet1!$C$2
    ) + tblHelmet[[#This Row],[Base_phy]],
    tblHelmet[[#This Row],[Base_phy]]
))</f>
        <v>3</v>
      </c>
      <c r="T4" s="7">
        <f>IF(tblHelmet[[#This Row],[Name]]="","",
IF(AND(Sheet1!$A$2&gt;=tblHelmet[[#This Row],[min_cor]],
       Sheet1!$B$2&gt;=tblHelmet[[#This Row],[min_spi]],
       Sheet1!$C$2&gt;=tblHelmet[[#This Row],[min_gra]]),
   _xlfn.FLOOR.MATH(value*tblHelmet[[#This Row],[mag_cor]]*Sheet1!$A$2 +
              value*tblHelmet[[#This Row],[mag_spi]]*Sheet1!$B$2 +
              value*tblHelmet[[#This Row],[mag_gra]]*Sheet1!$C$2)
   + tblHelmet[[#This Row],[Base_mag]],
   tblHelmet[[#This Row],[Base_mag]]))</f>
        <v>1</v>
      </c>
      <c r="U4" s="9">
        <f>IF(tblHelmet[[#This Row],[Name]]="","",
IF(AND(Sheet1!$A$2&gt;=tblHelmet[[#This Row],[min_cor]],
       Sheet1!$B$2&gt;=tblHelmet[[#This Row],[min_spi]],
       Sheet1!$C$2&gt;=tblHelmet[[#This Row],[min_gra]]),
   _xlfn.FLOOR.MATH(value*tblHelmet[[#This Row],[sta_cor]]*Sheet1!$A$2 +
              value*tblHelmet[[#This Row],[sta_spi]]*Sheet1!$B$2 +
              value*tblHelmet[[#This Row],[sta_gra]]*Sheet1!$C$2)
   + tblHelmet[[#This Row],[Base_sta]],
   tblHelmet[[#This Row],[Base_sta]]))</f>
        <v>3</v>
      </c>
      <c r="V4" s="7">
        <f>IF(tblHelmet[[#This Row],[Name]]="","",
tblHelmet[[#This Row],[phy]]*Sheet1!$E$2 +
tblHelmet[[#This Row],[mag]]*Sheet1!$F$2 +
tblHelmet[[#This Row],[sta]]*Sheet1!$G$2)</f>
        <v>7</v>
      </c>
      <c r="W4" s="7">
        <f>IF(tblHelmet[[#This Row],[Name]]="","",
_xlfn.RANK.EQ(tblHelmet[[#This Row],[Score]], tblHelmet[Score], 0))</f>
        <v>9</v>
      </c>
    </row>
    <row r="5" spans="1:23" x14ac:dyDescent="0.3">
      <c r="A5" s="23" t="s">
        <v>114</v>
      </c>
      <c r="B5" s="23" t="s">
        <v>73</v>
      </c>
      <c r="C5" s="23"/>
      <c r="D5" s="8">
        <v>2</v>
      </c>
      <c r="E5" s="7">
        <v>4</v>
      </c>
      <c r="F5" s="9">
        <v>0</v>
      </c>
      <c r="H5" s="7">
        <v>1</v>
      </c>
      <c r="K5" s="7">
        <v>2</v>
      </c>
      <c r="S5" s="8">
        <f>IF(tblHelmet[[#This Row],[Name]]="","",
IF( AND(
        Sheet1!$A$2 &gt;= tblHelmet[[#This Row],[min_cor]],
        Sheet1!$B$2 &gt;= tblHelmet[[#This Row],[min_spi]],
        Sheet1!$C$2 &gt;= tblHelmet[[#This Row],[min_gra]]
    ),
    _xlfn.FLOOR.MATH(
        value*tblHelmet[[#This Row],[phy_cor]]*Sheet1!$A$2 +
        value*tblHelmet[[#This Row],[phy_spi]]*Sheet1!$B$2 +
        value*tblHelmet[[#This Row],[phy_gra]]*Sheet1!$C$2
    ) + tblHelmet[[#This Row],[Base_phy]],
    tblHelmet[[#This Row],[Base_phy]]
))</f>
        <v>2</v>
      </c>
      <c r="T5" s="7">
        <f>IF(tblHelmet[[#This Row],[Name]]="","",
IF(AND(Sheet1!$A$2&gt;=tblHelmet[[#This Row],[min_cor]],
       Sheet1!$B$2&gt;=tblHelmet[[#This Row],[min_spi]],
       Sheet1!$C$2&gt;=tblHelmet[[#This Row],[min_gra]]),
   _xlfn.FLOOR.MATH(value*tblHelmet[[#This Row],[mag_cor]]*Sheet1!$A$2 +
              value*tblHelmet[[#This Row],[mag_spi]]*Sheet1!$B$2 +
              value*tblHelmet[[#This Row],[mag_gra]]*Sheet1!$C$2)
   + tblHelmet[[#This Row],[Base_mag]],
   tblHelmet[[#This Row],[Base_mag]]))</f>
        <v>5</v>
      </c>
      <c r="U5" s="9">
        <f>IF(tblHelmet[[#This Row],[Name]]="","",
IF(AND(Sheet1!$A$2&gt;=tblHelmet[[#This Row],[min_cor]],
       Sheet1!$B$2&gt;=tblHelmet[[#This Row],[min_spi]],
       Sheet1!$C$2&gt;=tblHelmet[[#This Row],[min_gra]]),
   _xlfn.FLOOR.MATH(value*tblHelmet[[#This Row],[sta_cor]]*Sheet1!$A$2 +
              value*tblHelmet[[#This Row],[sta_spi]]*Sheet1!$B$2 +
              value*tblHelmet[[#This Row],[sta_gra]]*Sheet1!$C$2)
   + tblHelmet[[#This Row],[Base_sta]],
   tblHelmet[[#This Row],[Base_sta]]))</f>
        <v>0</v>
      </c>
      <c r="V5" s="7">
        <f>IF(tblHelmet[[#This Row],[Name]]="","",
tblHelmet[[#This Row],[phy]]*Sheet1!$E$2 +
tblHelmet[[#This Row],[mag]]*Sheet1!$F$2 +
tblHelmet[[#This Row],[sta]]*Sheet1!$G$2)</f>
        <v>7</v>
      </c>
      <c r="W5" s="7">
        <f>IF(tblHelmet[[#This Row],[Name]]="","",
_xlfn.RANK.EQ(tblHelmet[[#This Row],[Score]], tblHelmet[Score], 0))</f>
        <v>9</v>
      </c>
    </row>
    <row r="6" spans="1:23" x14ac:dyDescent="0.3">
      <c r="A6" s="23" t="s">
        <v>112</v>
      </c>
      <c r="B6" s="23" t="s">
        <v>74</v>
      </c>
      <c r="C6" s="23" t="s">
        <v>42</v>
      </c>
      <c r="D6" s="8">
        <v>4</v>
      </c>
      <c r="E6" s="7">
        <v>0</v>
      </c>
      <c r="F6" s="9">
        <v>2</v>
      </c>
      <c r="G6" s="8">
        <v>3</v>
      </c>
      <c r="I6" s="18">
        <v>0</v>
      </c>
      <c r="M6" s="21">
        <v>2</v>
      </c>
      <c r="P6" s="7">
        <v>14</v>
      </c>
      <c r="S6" s="8">
        <f>IF(tblHelmet[[#This Row],[Name]]="","",
IF( AND(
        Sheet1!$A$2 &gt;= tblHelmet[[#This Row],[min_cor]],
        Sheet1!$B$2 &gt;= tblHelmet[[#This Row],[min_spi]],
        Sheet1!$C$2 &gt;= tblHelmet[[#This Row],[min_gra]]
    ),
    _xlfn.FLOOR.MATH(
        value*tblHelmet[[#This Row],[phy_cor]]*Sheet1!$A$2 +
        value*tblHelmet[[#This Row],[phy_spi]]*Sheet1!$B$2 +
        value*tblHelmet[[#This Row],[phy_gra]]*Sheet1!$C$2
    ) + tblHelmet[[#This Row],[Base_phy]],
    tblHelmet[[#This Row],[Base_phy]]
))</f>
        <v>4</v>
      </c>
      <c r="T6" s="7">
        <f>IF(tblHelmet[[#This Row],[Name]]="","",
IF(AND(Sheet1!$A$2&gt;=tblHelmet[[#This Row],[min_cor]],
       Sheet1!$B$2&gt;=tblHelmet[[#This Row],[min_spi]],
       Sheet1!$C$2&gt;=tblHelmet[[#This Row],[min_gra]]),
   _xlfn.FLOOR.MATH(value*tblHelmet[[#This Row],[mag_cor]]*Sheet1!$A$2 +
              value*tblHelmet[[#This Row],[mag_spi]]*Sheet1!$B$2 +
              value*tblHelmet[[#This Row],[mag_gra]]*Sheet1!$C$2)
   + tblHelmet[[#This Row],[Base_mag]],
   tblHelmet[[#This Row],[Base_mag]]))</f>
        <v>0</v>
      </c>
      <c r="U6" s="9">
        <f>IF(tblHelmet[[#This Row],[Name]]="","",
IF(AND(Sheet1!$A$2&gt;=tblHelmet[[#This Row],[min_cor]],
       Sheet1!$B$2&gt;=tblHelmet[[#This Row],[min_spi]],
       Sheet1!$C$2&gt;=tblHelmet[[#This Row],[min_gra]]),
   _xlfn.FLOOR.MATH(value*tblHelmet[[#This Row],[sta_cor]]*Sheet1!$A$2 +
              value*tblHelmet[[#This Row],[sta_spi]]*Sheet1!$B$2 +
              value*tblHelmet[[#This Row],[sta_gra]]*Sheet1!$C$2)
   + tblHelmet[[#This Row],[Base_sta]],
   tblHelmet[[#This Row],[Base_sta]]))</f>
        <v>2</v>
      </c>
      <c r="V6" s="7">
        <f>IF(tblHelmet[[#This Row],[Name]]="","",
tblHelmet[[#This Row],[phy]]*Sheet1!$E$2 +
tblHelmet[[#This Row],[mag]]*Sheet1!$F$2 +
tblHelmet[[#This Row],[sta]]*Sheet1!$G$2)</f>
        <v>6</v>
      </c>
      <c r="W6" s="7">
        <f>IF(tblHelmet[[#This Row],[Name]]="","",
_xlfn.RANK.EQ(tblHelmet[[#This Row],[Score]], tblHelmet[Score], 0))</f>
        <v>17</v>
      </c>
    </row>
    <row r="7" spans="1:23" x14ac:dyDescent="0.3">
      <c r="A7" s="23" t="s">
        <v>128</v>
      </c>
      <c r="B7" s="23" t="s">
        <v>75</v>
      </c>
      <c r="C7" s="23" t="s">
        <v>168</v>
      </c>
      <c r="D7" s="8">
        <v>3</v>
      </c>
      <c r="E7" s="7">
        <v>3</v>
      </c>
      <c r="F7" s="9">
        <v>1</v>
      </c>
      <c r="G7" s="8">
        <v>2</v>
      </c>
      <c r="H7" s="7">
        <v>2</v>
      </c>
      <c r="J7" s="21">
        <v>2</v>
      </c>
      <c r="K7" s="7">
        <v>2</v>
      </c>
      <c r="O7" s="9">
        <v>1</v>
      </c>
      <c r="Q7" s="7">
        <v>12</v>
      </c>
      <c r="S7" s="8">
        <f>IF(tblHelmet[[#This Row],[Name]]="","",
IF( AND(
        Sheet1!$A$2 &gt;= tblHelmet[[#This Row],[min_cor]],
        Sheet1!$B$2 &gt;= tblHelmet[[#This Row],[min_spi]],
        Sheet1!$C$2 &gt;= tblHelmet[[#This Row],[min_gra]]
    ),
    _xlfn.FLOOR.MATH(
        value*tblHelmet[[#This Row],[phy_cor]]*Sheet1!$A$2 +
        value*tblHelmet[[#This Row],[phy_spi]]*Sheet1!$B$2 +
        value*tblHelmet[[#This Row],[phy_gra]]*Sheet1!$C$2
    ) + tblHelmet[[#This Row],[Base_phy]],
    tblHelmet[[#This Row],[Base_phy]]
))</f>
        <v>3</v>
      </c>
      <c r="T7" s="7">
        <f>IF(tblHelmet[[#This Row],[Name]]="","",
IF(AND(Sheet1!$A$2&gt;=tblHelmet[[#This Row],[min_cor]],
       Sheet1!$B$2&gt;=tblHelmet[[#This Row],[min_spi]],
       Sheet1!$C$2&gt;=tblHelmet[[#This Row],[min_gra]]),
   _xlfn.FLOOR.MATH(value*tblHelmet[[#This Row],[mag_cor]]*Sheet1!$A$2 +
              value*tblHelmet[[#This Row],[mag_spi]]*Sheet1!$B$2 +
              value*tblHelmet[[#This Row],[mag_gra]]*Sheet1!$C$2)
   + tblHelmet[[#This Row],[Base_mag]],
   tblHelmet[[#This Row],[Base_mag]]))</f>
        <v>3</v>
      </c>
      <c r="U7" s="9">
        <f>IF(tblHelmet[[#This Row],[Name]]="","",
IF(AND(Sheet1!$A$2&gt;=tblHelmet[[#This Row],[min_cor]],
       Sheet1!$B$2&gt;=tblHelmet[[#This Row],[min_spi]],
       Sheet1!$C$2&gt;=tblHelmet[[#This Row],[min_gra]]),
   _xlfn.FLOOR.MATH(value*tblHelmet[[#This Row],[sta_cor]]*Sheet1!$A$2 +
              value*tblHelmet[[#This Row],[sta_spi]]*Sheet1!$B$2 +
              value*tblHelmet[[#This Row],[sta_gra]]*Sheet1!$C$2)
   + tblHelmet[[#This Row],[Base_sta]],
   tblHelmet[[#This Row],[Base_sta]]))</f>
        <v>1</v>
      </c>
      <c r="V7" s="7">
        <f>IF(tblHelmet[[#This Row],[Name]]="","",
tblHelmet[[#This Row],[phy]]*Sheet1!$E$2 +
tblHelmet[[#This Row],[mag]]*Sheet1!$F$2 +
tblHelmet[[#This Row],[sta]]*Sheet1!$G$2)</f>
        <v>7</v>
      </c>
      <c r="W7" s="7">
        <f>IF(tblHelmet[[#This Row],[Name]]="","",
_xlfn.RANK.EQ(tblHelmet[[#This Row],[Score]], tblHelmet[Score], 0))</f>
        <v>9</v>
      </c>
    </row>
    <row r="8" spans="1:23" x14ac:dyDescent="0.3">
      <c r="A8" s="23" t="s">
        <v>129</v>
      </c>
      <c r="B8" s="23" t="s">
        <v>76</v>
      </c>
      <c r="C8" s="23" t="s">
        <v>38</v>
      </c>
      <c r="D8" s="8">
        <v>3</v>
      </c>
      <c r="E8" s="7">
        <v>0</v>
      </c>
      <c r="F8" s="9">
        <v>3</v>
      </c>
      <c r="G8" s="8">
        <v>2</v>
      </c>
      <c r="M8" s="21">
        <v>2</v>
      </c>
      <c r="P8" s="7">
        <v>12</v>
      </c>
      <c r="S8" s="8">
        <f>IF(tblHelmet[[#This Row],[Name]]="","",
IF( AND(
        Sheet1!$A$2 &gt;= tblHelmet[[#This Row],[min_cor]],
        Sheet1!$B$2 &gt;= tblHelmet[[#This Row],[min_spi]],
        Sheet1!$C$2 &gt;= tblHelmet[[#This Row],[min_gra]]
    ),
    _xlfn.FLOOR.MATH(
        value*tblHelmet[[#This Row],[phy_cor]]*Sheet1!$A$2 +
        value*tblHelmet[[#This Row],[phy_spi]]*Sheet1!$B$2 +
        value*tblHelmet[[#This Row],[phy_gra]]*Sheet1!$C$2
    ) + tblHelmet[[#This Row],[Base_phy]],
    tblHelmet[[#This Row],[Base_phy]]
))</f>
        <v>3</v>
      </c>
      <c r="T8" s="7">
        <f>IF(tblHelmet[[#This Row],[Name]]="","",
IF(AND(Sheet1!$A$2&gt;=tblHelmet[[#This Row],[min_cor]],
       Sheet1!$B$2&gt;=tblHelmet[[#This Row],[min_spi]],
       Sheet1!$C$2&gt;=tblHelmet[[#This Row],[min_gra]]),
   _xlfn.FLOOR.MATH(value*tblHelmet[[#This Row],[mag_cor]]*Sheet1!$A$2 +
              value*tblHelmet[[#This Row],[mag_spi]]*Sheet1!$B$2 +
              value*tblHelmet[[#This Row],[mag_gra]]*Sheet1!$C$2)
   + tblHelmet[[#This Row],[Base_mag]],
   tblHelmet[[#This Row],[Base_mag]]))</f>
        <v>0</v>
      </c>
      <c r="U8" s="9">
        <f>IF(tblHelmet[[#This Row],[Name]]="","",
IF(AND(Sheet1!$A$2&gt;=tblHelmet[[#This Row],[min_cor]],
       Sheet1!$B$2&gt;=tblHelmet[[#This Row],[min_spi]],
       Sheet1!$C$2&gt;=tblHelmet[[#This Row],[min_gra]]),
   _xlfn.FLOOR.MATH(value*tblHelmet[[#This Row],[sta_cor]]*Sheet1!$A$2 +
              value*tblHelmet[[#This Row],[sta_spi]]*Sheet1!$B$2 +
              value*tblHelmet[[#This Row],[sta_gra]]*Sheet1!$C$2)
   + tblHelmet[[#This Row],[Base_sta]],
   tblHelmet[[#This Row],[Base_sta]]))</f>
        <v>3</v>
      </c>
      <c r="V8" s="7">
        <f>IF(tblHelmet[[#This Row],[Name]]="","",
tblHelmet[[#This Row],[phy]]*Sheet1!$E$2 +
tblHelmet[[#This Row],[mag]]*Sheet1!$F$2 +
tblHelmet[[#This Row],[sta]]*Sheet1!$G$2)</f>
        <v>6</v>
      </c>
      <c r="W8" s="7">
        <f>IF(tblHelmet[[#This Row],[Name]]="","",
_xlfn.RANK.EQ(tblHelmet[[#This Row],[Score]], tblHelmet[Score], 0))</f>
        <v>17</v>
      </c>
    </row>
    <row r="9" spans="1:23" x14ac:dyDescent="0.3">
      <c r="A9" s="23" t="s">
        <v>123</v>
      </c>
      <c r="B9" s="23" t="s">
        <v>77</v>
      </c>
      <c r="C9" s="23" t="s">
        <v>45</v>
      </c>
      <c r="D9" s="8">
        <v>2</v>
      </c>
      <c r="E9" s="7">
        <v>2</v>
      </c>
      <c r="F9" s="9">
        <v>3</v>
      </c>
      <c r="H9" s="7">
        <v>1</v>
      </c>
      <c r="I9" s="18">
        <v>2</v>
      </c>
      <c r="K9" s="7">
        <v>2</v>
      </c>
      <c r="L9" s="18">
        <v>1</v>
      </c>
      <c r="N9" s="7">
        <v>1</v>
      </c>
      <c r="O9" s="9">
        <v>2</v>
      </c>
      <c r="R9" s="7">
        <v>15</v>
      </c>
      <c r="S9" s="8">
        <f>IF(tblHelmet[[#This Row],[Name]]="","",
IF( AND(
        Sheet1!$A$2 &gt;= tblHelmet[[#This Row],[min_cor]],
        Sheet1!$B$2 &gt;= tblHelmet[[#This Row],[min_spi]],
        Sheet1!$C$2 &gt;= tblHelmet[[#This Row],[min_gra]]
    ),
    _xlfn.FLOOR.MATH(
        value*tblHelmet[[#This Row],[phy_cor]]*Sheet1!$A$2 +
        value*tblHelmet[[#This Row],[phy_spi]]*Sheet1!$B$2 +
        value*tblHelmet[[#This Row],[phy_gra]]*Sheet1!$C$2
    ) + tblHelmet[[#This Row],[Base_phy]],
    tblHelmet[[#This Row],[Base_phy]]
))</f>
        <v>11</v>
      </c>
      <c r="T9" s="7">
        <f>IF(tblHelmet[[#This Row],[Name]]="","",
IF(AND(Sheet1!$A$2&gt;=tblHelmet[[#This Row],[min_cor]],
       Sheet1!$B$2&gt;=tblHelmet[[#This Row],[min_spi]],
       Sheet1!$C$2&gt;=tblHelmet[[#This Row],[min_gra]]),
   _xlfn.FLOOR.MATH(value*tblHelmet[[#This Row],[mag_cor]]*Sheet1!$A$2 +
              value*tblHelmet[[#This Row],[mag_spi]]*Sheet1!$B$2 +
              value*tblHelmet[[#This Row],[mag_gra]]*Sheet1!$C$2)
   + tblHelmet[[#This Row],[Base_mag]],
   tblHelmet[[#This Row],[Base_mag]]))</f>
        <v>8</v>
      </c>
      <c r="U9" s="9">
        <f>IF(tblHelmet[[#This Row],[Name]]="","",
IF(AND(Sheet1!$A$2&gt;=tblHelmet[[#This Row],[min_cor]],
       Sheet1!$B$2&gt;=tblHelmet[[#This Row],[min_spi]],
       Sheet1!$C$2&gt;=tblHelmet[[#This Row],[min_gra]]),
   _xlfn.FLOOR.MATH(value*tblHelmet[[#This Row],[sta_cor]]*Sheet1!$A$2 +
              value*tblHelmet[[#This Row],[sta_spi]]*Sheet1!$B$2 +
              value*tblHelmet[[#This Row],[sta_gra]]*Sheet1!$C$2)
   + tblHelmet[[#This Row],[Base_sta]],
   tblHelmet[[#This Row],[Base_sta]]))</f>
        <v>12</v>
      </c>
      <c r="V9" s="7">
        <f>IF(tblHelmet[[#This Row],[Name]]="","",
tblHelmet[[#This Row],[phy]]*Sheet1!$E$2 +
tblHelmet[[#This Row],[mag]]*Sheet1!$F$2 +
tblHelmet[[#This Row],[sta]]*Sheet1!$G$2)</f>
        <v>31</v>
      </c>
      <c r="W9" s="7">
        <f>IF(tblHelmet[[#This Row],[Name]]="","",
_xlfn.RANK.EQ(tblHelmet[[#This Row],[Score]], tblHelmet[Score], 0))</f>
        <v>3</v>
      </c>
    </row>
    <row r="10" spans="1:23" x14ac:dyDescent="0.3">
      <c r="A10" s="23" t="s">
        <v>113</v>
      </c>
      <c r="B10" s="23" t="s">
        <v>78</v>
      </c>
      <c r="C10" s="23" t="s">
        <v>38</v>
      </c>
      <c r="D10" s="8">
        <v>3</v>
      </c>
      <c r="E10" s="7">
        <v>2</v>
      </c>
      <c r="F10" s="9">
        <v>2</v>
      </c>
      <c r="G10" s="8">
        <v>2</v>
      </c>
      <c r="I10" s="18">
        <v>2</v>
      </c>
      <c r="J10" s="21">
        <v>1</v>
      </c>
      <c r="M10" s="21">
        <v>1</v>
      </c>
      <c r="O10" s="9">
        <v>2</v>
      </c>
      <c r="P10" s="7">
        <v>15</v>
      </c>
      <c r="S10" s="8">
        <f>IF(tblHelmet[[#This Row],[Name]]="","",
IF( AND(
        Sheet1!$A$2 &gt;= tblHelmet[[#This Row],[min_cor]],
        Sheet1!$B$2 &gt;= tblHelmet[[#This Row],[min_spi]],
        Sheet1!$C$2 &gt;= tblHelmet[[#This Row],[min_gra]]
    ),
    _xlfn.FLOOR.MATH(
        value*tblHelmet[[#This Row],[phy_cor]]*Sheet1!$A$2 +
        value*tblHelmet[[#This Row],[phy_spi]]*Sheet1!$B$2 +
        value*tblHelmet[[#This Row],[phy_gra]]*Sheet1!$C$2
    ) + tblHelmet[[#This Row],[Base_phy]],
    tblHelmet[[#This Row],[Base_phy]]
))</f>
        <v>3</v>
      </c>
      <c r="T10" s="7">
        <f>IF(tblHelmet[[#This Row],[Name]]="","",
IF(AND(Sheet1!$A$2&gt;=tblHelmet[[#This Row],[min_cor]],
       Sheet1!$B$2&gt;=tblHelmet[[#This Row],[min_spi]],
       Sheet1!$C$2&gt;=tblHelmet[[#This Row],[min_gra]]),
   _xlfn.FLOOR.MATH(value*tblHelmet[[#This Row],[mag_cor]]*Sheet1!$A$2 +
              value*tblHelmet[[#This Row],[mag_spi]]*Sheet1!$B$2 +
              value*tblHelmet[[#This Row],[mag_gra]]*Sheet1!$C$2)
   + tblHelmet[[#This Row],[Base_mag]],
   tblHelmet[[#This Row],[Base_mag]]))</f>
        <v>2</v>
      </c>
      <c r="U10" s="9">
        <f>IF(tblHelmet[[#This Row],[Name]]="","",
IF(AND(Sheet1!$A$2&gt;=tblHelmet[[#This Row],[min_cor]],
       Sheet1!$B$2&gt;=tblHelmet[[#This Row],[min_spi]],
       Sheet1!$C$2&gt;=tblHelmet[[#This Row],[min_gra]]),
   _xlfn.FLOOR.MATH(value*tblHelmet[[#This Row],[sta_cor]]*Sheet1!$A$2 +
              value*tblHelmet[[#This Row],[sta_spi]]*Sheet1!$B$2 +
              value*tblHelmet[[#This Row],[sta_gra]]*Sheet1!$C$2)
   + tblHelmet[[#This Row],[Base_sta]],
   tblHelmet[[#This Row],[Base_sta]]))</f>
        <v>2</v>
      </c>
      <c r="V10" s="7">
        <f>IF(tblHelmet[[#This Row],[Name]]="","",
tblHelmet[[#This Row],[phy]]*Sheet1!$E$2 +
tblHelmet[[#This Row],[mag]]*Sheet1!$F$2 +
tblHelmet[[#This Row],[sta]]*Sheet1!$G$2)</f>
        <v>7</v>
      </c>
      <c r="W10" s="7">
        <f>IF(tblHelmet[[#This Row],[Name]]="","",
_xlfn.RANK.EQ(tblHelmet[[#This Row],[Score]], tblHelmet[Score], 0))</f>
        <v>9</v>
      </c>
    </row>
    <row r="11" spans="1:23" x14ac:dyDescent="0.3">
      <c r="A11" s="23" t="s">
        <v>120</v>
      </c>
      <c r="B11" s="23" t="s">
        <v>79</v>
      </c>
      <c r="C11" s="23" t="s">
        <v>52</v>
      </c>
      <c r="D11" s="8">
        <v>0</v>
      </c>
      <c r="E11" s="7">
        <v>0</v>
      </c>
      <c r="F11" s="9">
        <v>0</v>
      </c>
      <c r="S11" s="8">
        <f>IF(tblHelmet[[#This Row],[Name]]="","",
IF( AND(
        Sheet1!$A$2 &gt;= tblHelmet[[#This Row],[min_cor]],
        Sheet1!$B$2 &gt;= tblHelmet[[#This Row],[min_spi]],
        Sheet1!$C$2 &gt;= tblHelmet[[#This Row],[min_gra]]
    ),
    _xlfn.FLOOR.MATH(
        value*tblHelmet[[#This Row],[phy_cor]]*Sheet1!$A$2 +
        value*tblHelmet[[#This Row],[phy_spi]]*Sheet1!$B$2 +
        value*tblHelmet[[#This Row],[phy_gra]]*Sheet1!$C$2
    ) + tblHelmet[[#This Row],[Base_phy]],
    tblHelmet[[#This Row],[Base_phy]]
))</f>
        <v>0</v>
      </c>
      <c r="T11" s="7">
        <f>IF(tblHelmet[[#This Row],[Name]]="","",
IF(AND(Sheet1!$A$2&gt;=tblHelmet[[#This Row],[min_cor]],
       Sheet1!$B$2&gt;=tblHelmet[[#This Row],[min_spi]],
       Sheet1!$C$2&gt;=tblHelmet[[#This Row],[min_gra]]),
   _xlfn.FLOOR.MATH(value*tblHelmet[[#This Row],[mag_cor]]*Sheet1!$A$2 +
              value*tblHelmet[[#This Row],[mag_spi]]*Sheet1!$B$2 +
              value*tblHelmet[[#This Row],[mag_gra]]*Sheet1!$C$2)
   + tblHelmet[[#This Row],[Base_mag]],
   tblHelmet[[#This Row],[Base_mag]]))</f>
        <v>0</v>
      </c>
      <c r="U11" s="9">
        <f>IF(tblHelmet[[#This Row],[Name]]="","",
IF(AND(Sheet1!$A$2&gt;=tblHelmet[[#This Row],[min_cor]],
       Sheet1!$B$2&gt;=tblHelmet[[#This Row],[min_spi]],
       Sheet1!$C$2&gt;=tblHelmet[[#This Row],[min_gra]]),
   _xlfn.FLOOR.MATH(value*tblHelmet[[#This Row],[sta_cor]]*Sheet1!$A$2 +
              value*tblHelmet[[#This Row],[sta_spi]]*Sheet1!$B$2 +
              value*tblHelmet[[#This Row],[sta_gra]]*Sheet1!$C$2)
   + tblHelmet[[#This Row],[Base_sta]],
   tblHelmet[[#This Row],[Base_sta]]))</f>
        <v>0</v>
      </c>
      <c r="V11" s="7">
        <f>IF(tblHelmet[[#This Row],[Name]]="","",
tblHelmet[[#This Row],[phy]]*Sheet1!$E$2 +
tblHelmet[[#This Row],[mag]]*Sheet1!$F$2 +
tblHelmet[[#This Row],[sta]]*Sheet1!$G$2)</f>
        <v>0</v>
      </c>
      <c r="W11" s="7">
        <f>IF(tblHelmet[[#This Row],[Name]]="","",
_xlfn.RANK.EQ(tblHelmet[[#This Row],[Score]], tblHelmet[Score], 0))</f>
        <v>25</v>
      </c>
    </row>
    <row r="12" spans="1:23" x14ac:dyDescent="0.3">
      <c r="A12" s="23" t="s">
        <v>130</v>
      </c>
      <c r="B12" s="23" t="s">
        <v>80</v>
      </c>
      <c r="C12" s="23" t="s">
        <v>168</v>
      </c>
      <c r="D12" s="8">
        <v>4</v>
      </c>
      <c r="E12" s="7">
        <v>1</v>
      </c>
      <c r="F12" s="9">
        <v>2</v>
      </c>
      <c r="G12" s="8">
        <v>2</v>
      </c>
      <c r="H12" s="7">
        <v>2</v>
      </c>
      <c r="J12" s="21">
        <v>1</v>
      </c>
      <c r="K12" s="7">
        <v>2</v>
      </c>
      <c r="M12" s="21">
        <v>2</v>
      </c>
      <c r="P12" s="7">
        <v>12</v>
      </c>
      <c r="S12" s="8">
        <f>IF(tblHelmet[[#This Row],[Name]]="","",
IF( AND(
        Sheet1!$A$2 &gt;= tblHelmet[[#This Row],[min_cor]],
        Sheet1!$B$2 &gt;= tblHelmet[[#This Row],[min_spi]],
        Sheet1!$C$2 &gt;= tblHelmet[[#This Row],[min_gra]]
    ),
    _xlfn.FLOOR.MATH(
        value*tblHelmet[[#This Row],[phy_cor]]*Sheet1!$A$2 +
        value*tblHelmet[[#This Row],[phy_spi]]*Sheet1!$B$2 +
        value*tblHelmet[[#This Row],[phy_gra]]*Sheet1!$C$2
    ) + tblHelmet[[#This Row],[Base_phy]],
    tblHelmet[[#This Row],[Base_phy]]
))</f>
        <v>4</v>
      </c>
      <c r="T12" s="7">
        <f>IF(tblHelmet[[#This Row],[Name]]="","",
IF(AND(Sheet1!$A$2&gt;=tblHelmet[[#This Row],[min_cor]],
       Sheet1!$B$2&gt;=tblHelmet[[#This Row],[min_spi]],
       Sheet1!$C$2&gt;=tblHelmet[[#This Row],[min_gra]]),
   _xlfn.FLOOR.MATH(value*tblHelmet[[#This Row],[mag_cor]]*Sheet1!$A$2 +
              value*tblHelmet[[#This Row],[mag_spi]]*Sheet1!$B$2 +
              value*tblHelmet[[#This Row],[mag_gra]]*Sheet1!$C$2)
   + tblHelmet[[#This Row],[Base_mag]],
   tblHelmet[[#This Row],[Base_mag]]))</f>
        <v>1</v>
      </c>
      <c r="U12" s="9">
        <f>IF(tblHelmet[[#This Row],[Name]]="","",
IF(AND(Sheet1!$A$2&gt;=tblHelmet[[#This Row],[min_cor]],
       Sheet1!$B$2&gt;=tblHelmet[[#This Row],[min_spi]],
       Sheet1!$C$2&gt;=tblHelmet[[#This Row],[min_gra]]),
   _xlfn.FLOOR.MATH(value*tblHelmet[[#This Row],[sta_cor]]*Sheet1!$A$2 +
              value*tblHelmet[[#This Row],[sta_spi]]*Sheet1!$B$2 +
              value*tblHelmet[[#This Row],[sta_gra]]*Sheet1!$C$2)
   + tblHelmet[[#This Row],[Base_sta]],
   tblHelmet[[#This Row],[Base_sta]]))</f>
        <v>2</v>
      </c>
      <c r="V12" s="7">
        <f>IF(tblHelmet[[#This Row],[Name]]="","",
tblHelmet[[#This Row],[phy]]*Sheet1!$E$2 +
tblHelmet[[#This Row],[mag]]*Sheet1!$F$2 +
tblHelmet[[#This Row],[sta]]*Sheet1!$G$2)</f>
        <v>7</v>
      </c>
      <c r="W12" s="7">
        <f>IF(tblHelmet[[#This Row],[Name]]="","",
_xlfn.RANK.EQ(tblHelmet[[#This Row],[Score]], tblHelmet[Score], 0))</f>
        <v>9</v>
      </c>
    </row>
    <row r="13" spans="1:23" x14ac:dyDescent="0.3">
      <c r="A13" s="23" t="s">
        <v>124</v>
      </c>
      <c r="B13" s="23" t="s">
        <v>81</v>
      </c>
      <c r="C13" s="23" t="s">
        <v>36</v>
      </c>
      <c r="D13" s="8">
        <v>3</v>
      </c>
      <c r="E13" s="7">
        <v>3</v>
      </c>
      <c r="F13" s="9">
        <v>2</v>
      </c>
      <c r="H13" s="7">
        <v>2</v>
      </c>
      <c r="I13" s="18">
        <v>1</v>
      </c>
      <c r="K13" s="7">
        <v>2</v>
      </c>
      <c r="L13" s="18">
        <v>1</v>
      </c>
      <c r="N13" s="7">
        <v>1</v>
      </c>
      <c r="O13" s="9">
        <v>2</v>
      </c>
      <c r="R13" s="7">
        <v>20</v>
      </c>
      <c r="S13" s="8">
        <f>IF(tblHelmet[[#This Row],[Name]]="","",
IF( AND(
        Sheet1!$A$2 &gt;= tblHelmet[[#This Row],[min_cor]],
        Sheet1!$B$2 &gt;= tblHelmet[[#This Row],[min_spi]],
        Sheet1!$C$2 &gt;= tblHelmet[[#This Row],[min_gra]]
    ),
    _xlfn.FLOOR.MATH(
        value*tblHelmet[[#This Row],[phy_cor]]*Sheet1!$A$2 +
        value*tblHelmet[[#This Row],[phy_spi]]*Sheet1!$B$2 +
        value*tblHelmet[[#This Row],[phy_gra]]*Sheet1!$C$2
    ) + tblHelmet[[#This Row],[Base_phy]],
    tblHelmet[[#This Row],[Base_phy]]
))</f>
        <v>9</v>
      </c>
      <c r="T13" s="7">
        <f>IF(tblHelmet[[#This Row],[Name]]="","",
IF(AND(Sheet1!$A$2&gt;=tblHelmet[[#This Row],[min_cor]],
       Sheet1!$B$2&gt;=tblHelmet[[#This Row],[min_spi]],
       Sheet1!$C$2&gt;=tblHelmet[[#This Row],[min_gra]]),
   _xlfn.FLOOR.MATH(value*tblHelmet[[#This Row],[mag_cor]]*Sheet1!$A$2 +
              value*tblHelmet[[#This Row],[mag_spi]]*Sheet1!$B$2 +
              value*tblHelmet[[#This Row],[mag_gra]]*Sheet1!$C$2)
   + tblHelmet[[#This Row],[Base_mag]],
   tblHelmet[[#This Row],[Base_mag]]))</f>
        <v>9</v>
      </c>
      <c r="U13" s="9">
        <f>IF(tblHelmet[[#This Row],[Name]]="","",
IF(AND(Sheet1!$A$2&gt;=tblHelmet[[#This Row],[min_cor]],
       Sheet1!$B$2&gt;=tblHelmet[[#This Row],[min_spi]],
       Sheet1!$C$2&gt;=tblHelmet[[#This Row],[min_gra]]),
   _xlfn.FLOOR.MATH(value*tblHelmet[[#This Row],[sta_cor]]*Sheet1!$A$2 +
              value*tblHelmet[[#This Row],[sta_spi]]*Sheet1!$B$2 +
              value*tblHelmet[[#This Row],[sta_gra]]*Sheet1!$C$2)
   + tblHelmet[[#This Row],[Base_sta]],
   tblHelmet[[#This Row],[Base_sta]]))</f>
        <v>11</v>
      </c>
      <c r="V13" s="7">
        <f>IF(tblHelmet[[#This Row],[Name]]="","",
tblHelmet[[#This Row],[phy]]*Sheet1!$E$2 +
tblHelmet[[#This Row],[mag]]*Sheet1!$F$2 +
tblHelmet[[#This Row],[sta]]*Sheet1!$G$2)</f>
        <v>29</v>
      </c>
      <c r="W13" s="7">
        <f>IF(tblHelmet[[#This Row],[Name]]="","",
_xlfn.RANK.EQ(tblHelmet[[#This Row],[Score]], tblHelmet[Score], 0))</f>
        <v>4</v>
      </c>
    </row>
    <row r="14" spans="1:23" x14ac:dyDescent="0.3">
      <c r="A14" s="23" t="s">
        <v>153</v>
      </c>
      <c r="B14" s="23" t="s">
        <v>82</v>
      </c>
      <c r="C14" s="23" t="s">
        <v>55</v>
      </c>
      <c r="D14" s="8">
        <v>1</v>
      </c>
      <c r="E14" s="7">
        <v>3</v>
      </c>
      <c r="F14" s="9">
        <v>0</v>
      </c>
      <c r="K14" s="7">
        <v>1</v>
      </c>
      <c r="S14" s="8">
        <f>IF(tblHelmet[[#This Row],[Name]]="","",
IF( AND(
        Sheet1!$A$2 &gt;= tblHelmet[[#This Row],[min_cor]],
        Sheet1!$B$2 &gt;= tblHelmet[[#This Row],[min_spi]],
        Sheet1!$C$2 &gt;= tblHelmet[[#This Row],[min_gra]]
    ),
    _xlfn.FLOOR.MATH(
        value*tblHelmet[[#This Row],[phy_cor]]*Sheet1!$A$2 +
        value*tblHelmet[[#This Row],[phy_spi]]*Sheet1!$B$2 +
        value*tblHelmet[[#This Row],[phy_gra]]*Sheet1!$C$2
    ) + tblHelmet[[#This Row],[Base_phy]],
    tblHelmet[[#This Row],[Base_phy]]
))</f>
        <v>1</v>
      </c>
      <c r="T14" s="7">
        <f>IF(tblHelmet[[#This Row],[Name]]="","",
IF(AND(Sheet1!$A$2&gt;=tblHelmet[[#This Row],[min_cor]],
       Sheet1!$B$2&gt;=tblHelmet[[#This Row],[min_spi]],
       Sheet1!$C$2&gt;=tblHelmet[[#This Row],[min_gra]]),
   _xlfn.FLOOR.MATH(value*tblHelmet[[#This Row],[mag_cor]]*Sheet1!$A$2 +
              value*tblHelmet[[#This Row],[mag_spi]]*Sheet1!$B$2 +
              value*tblHelmet[[#This Row],[mag_gra]]*Sheet1!$C$2)
   + tblHelmet[[#This Row],[Base_mag]],
   tblHelmet[[#This Row],[Base_mag]]))</f>
        <v>3</v>
      </c>
      <c r="U14" s="9">
        <f>IF(tblHelmet[[#This Row],[Name]]="","",
IF(AND(Sheet1!$A$2&gt;=tblHelmet[[#This Row],[min_cor]],
       Sheet1!$B$2&gt;=tblHelmet[[#This Row],[min_spi]],
       Sheet1!$C$2&gt;=tblHelmet[[#This Row],[min_gra]]),
   _xlfn.FLOOR.MATH(value*tblHelmet[[#This Row],[sta_cor]]*Sheet1!$A$2 +
              value*tblHelmet[[#This Row],[sta_spi]]*Sheet1!$B$2 +
              value*tblHelmet[[#This Row],[sta_gra]]*Sheet1!$C$2)
   + tblHelmet[[#This Row],[Base_sta]],
   tblHelmet[[#This Row],[Base_sta]]))</f>
        <v>0</v>
      </c>
      <c r="V14" s="7">
        <f>IF(tblHelmet[[#This Row],[Name]]="","",
tblHelmet[[#This Row],[phy]]*Sheet1!$E$2 +
tblHelmet[[#This Row],[mag]]*Sheet1!$F$2 +
tblHelmet[[#This Row],[sta]]*Sheet1!$G$2)</f>
        <v>4</v>
      </c>
      <c r="W14" s="7">
        <f>IF(tblHelmet[[#This Row],[Name]]="","",
_xlfn.RANK.EQ(tblHelmet[[#This Row],[Score]], tblHelmet[Score], 0))</f>
        <v>24</v>
      </c>
    </row>
    <row r="15" spans="1:23" x14ac:dyDescent="0.3">
      <c r="A15" s="23" t="s">
        <v>131</v>
      </c>
      <c r="B15" s="23" t="s">
        <v>83</v>
      </c>
      <c r="C15" s="23" t="s">
        <v>168</v>
      </c>
      <c r="D15" s="8">
        <v>2</v>
      </c>
      <c r="E15" s="7">
        <v>2</v>
      </c>
      <c r="F15" s="9">
        <v>6</v>
      </c>
      <c r="I15" s="18">
        <v>1</v>
      </c>
      <c r="K15" s="7">
        <v>2</v>
      </c>
      <c r="L15" s="18">
        <v>2</v>
      </c>
      <c r="N15" s="7">
        <v>2</v>
      </c>
      <c r="O15" s="9">
        <v>2</v>
      </c>
      <c r="R15" s="7">
        <v>12</v>
      </c>
      <c r="S15" s="8">
        <f>IF(tblHelmet[[#This Row],[Name]]="","",
IF( AND(
        Sheet1!$A$2 &gt;= tblHelmet[[#This Row],[min_cor]],
        Sheet1!$B$2 &gt;= tblHelmet[[#This Row],[min_spi]],
        Sheet1!$C$2 &gt;= tblHelmet[[#This Row],[min_gra]]
    ),
    _xlfn.FLOOR.MATH(
        value*tblHelmet[[#This Row],[phy_cor]]*Sheet1!$A$2 +
        value*tblHelmet[[#This Row],[phy_spi]]*Sheet1!$B$2 +
        value*tblHelmet[[#This Row],[phy_gra]]*Sheet1!$C$2
    ) + tblHelmet[[#This Row],[Base_phy]],
    tblHelmet[[#This Row],[Base_phy]]
))</f>
        <v>6</v>
      </c>
      <c r="T15" s="7">
        <f>IF(tblHelmet[[#This Row],[Name]]="","",
IF(AND(Sheet1!$A$2&gt;=tblHelmet[[#This Row],[min_cor]],
       Sheet1!$B$2&gt;=tblHelmet[[#This Row],[min_spi]],
       Sheet1!$C$2&gt;=tblHelmet[[#This Row],[min_gra]]),
   _xlfn.FLOOR.MATH(value*tblHelmet[[#This Row],[mag_cor]]*Sheet1!$A$2 +
              value*tblHelmet[[#This Row],[mag_spi]]*Sheet1!$B$2 +
              value*tblHelmet[[#This Row],[mag_gra]]*Sheet1!$C$2)
   + tblHelmet[[#This Row],[Base_mag]],
   tblHelmet[[#This Row],[Base_mag]]))</f>
        <v>12</v>
      </c>
      <c r="U15" s="9">
        <f>IF(tblHelmet[[#This Row],[Name]]="","",
IF(AND(Sheet1!$A$2&gt;=tblHelmet[[#This Row],[min_cor]],
       Sheet1!$B$2&gt;=tblHelmet[[#This Row],[min_spi]],
       Sheet1!$C$2&gt;=tblHelmet[[#This Row],[min_gra]]),
   _xlfn.FLOOR.MATH(value*tblHelmet[[#This Row],[sta_cor]]*Sheet1!$A$2 +
              value*tblHelmet[[#This Row],[sta_spi]]*Sheet1!$B$2 +
              value*tblHelmet[[#This Row],[sta_gra]]*Sheet1!$C$2)
   + tblHelmet[[#This Row],[Base_sta]],
   tblHelmet[[#This Row],[Base_sta]]))</f>
        <v>16</v>
      </c>
      <c r="V15" s="7">
        <f>IF(tblHelmet[[#This Row],[Name]]="","",
tblHelmet[[#This Row],[phy]]*Sheet1!$E$2 +
tblHelmet[[#This Row],[mag]]*Sheet1!$F$2 +
tblHelmet[[#This Row],[sta]]*Sheet1!$G$2)</f>
        <v>34</v>
      </c>
      <c r="W15" s="7">
        <f>IF(tblHelmet[[#This Row],[Name]]="","",
_xlfn.RANK.EQ(tblHelmet[[#This Row],[Score]], tblHelmet[Score], 0))</f>
        <v>2</v>
      </c>
    </row>
    <row r="16" spans="1:23" x14ac:dyDescent="0.3">
      <c r="A16" s="23" t="s">
        <v>126</v>
      </c>
      <c r="B16" s="23" t="s">
        <v>84</v>
      </c>
      <c r="C16" s="23" t="s">
        <v>38</v>
      </c>
      <c r="D16" s="8">
        <v>3</v>
      </c>
      <c r="E16" s="7">
        <v>1</v>
      </c>
      <c r="F16" s="9">
        <v>1</v>
      </c>
      <c r="G16" s="8">
        <v>2</v>
      </c>
      <c r="H16" s="7">
        <v>2</v>
      </c>
      <c r="J16" s="21">
        <v>1</v>
      </c>
      <c r="K16" s="7">
        <v>2</v>
      </c>
      <c r="M16" s="21">
        <v>2</v>
      </c>
      <c r="P16" s="7">
        <v>15</v>
      </c>
      <c r="S16" s="8">
        <f>IF(tblHelmet[[#This Row],[Name]]="","",
IF( AND(
        Sheet1!$A$2 &gt;= tblHelmet[[#This Row],[min_cor]],
        Sheet1!$B$2 &gt;= tblHelmet[[#This Row],[min_spi]],
        Sheet1!$C$2 &gt;= tblHelmet[[#This Row],[min_gra]]
    ),
    _xlfn.FLOOR.MATH(
        value*tblHelmet[[#This Row],[phy_cor]]*Sheet1!$A$2 +
        value*tblHelmet[[#This Row],[phy_spi]]*Sheet1!$B$2 +
        value*tblHelmet[[#This Row],[phy_gra]]*Sheet1!$C$2
    ) + tblHelmet[[#This Row],[Base_phy]],
    tblHelmet[[#This Row],[Base_phy]]
))</f>
        <v>3</v>
      </c>
      <c r="T16" s="7">
        <f>IF(tblHelmet[[#This Row],[Name]]="","",
IF(AND(Sheet1!$A$2&gt;=tblHelmet[[#This Row],[min_cor]],
       Sheet1!$B$2&gt;=tblHelmet[[#This Row],[min_spi]],
       Sheet1!$C$2&gt;=tblHelmet[[#This Row],[min_gra]]),
   _xlfn.FLOOR.MATH(value*tblHelmet[[#This Row],[mag_cor]]*Sheet1!$A$2 +
              value*tblHelmet[[#This Row],[mag_spi]]*Sheet1!$B$2 +
              value*tblHelmet[[#This Row],[mag_gra]]*Sheet1!$C$2)
   + tblHelmet[[#This Row],[Base_mag]],
   tblHelmet[[#This Row],[Base_mag]]))</f>
        <v>1</v>
      </c>
      <c r="U16" s="9">
        <f>IF(tblHelmet[[#This Row],[Name]]="","",
IF(AND(Sheet1!$A$2&gt;=tblHelmet[[#This Row],[min_cor]],
       Sheet1!$B$2&gt;=tblHelmet[[#This Row],[min_spi]],
       Sheet1!$C$2&gt;=tblHelmet[[#This Row],[min_gra]]),
   _xlfn.FLOOR.MATH(value*tblHelmet[[#This Row],[sta_cor]]*Sheet1!$A$2 +
              value*tblHelmet[[#This Row],[sta_spi]]*Sheet1!$B$2 +
              value*tblHelmet[[#This Row],[sta_gra]]*Sheet1!$C$2)
   + tblHelmet[[#This Row],[Base_sta]],
   tblHelmet[[#This Row],[Base_sta]]))</f>
        <v>1</v>
      </c>
      <c r="V16" s="7">
        <f>IF(tblHelmet[[#This Row],[Name]]="","",
tblHelmet[[#This Row],[phy]]*Sheet1!$E$2 +
tblHelmet[[#This Row],[mag]]*Sheet1!$F$2 +
tblHelmet[[#This Row],[sta]]*Sheet1!$G$2)</f>
        <v>5</v>
      </c>
      <c r="W16" s="7">
        <f>IF(tblHelmet[[#This Row],[Name]]="","",
_xlfn.RANK.EQ(tblHelmet[[#This Row],[Score]], tblHelmet[Score], 0))</f>
        <v>20</v>
      </c>
    </row>
    <row r="17" spans="1:23" x14ac:dyDescent="0.3">
      <c r="A17" s="23" t="s">
        <v>121</v>
      </c>
      <c r="B17" s="23" t="s">
        <v>85</v>
      </c>
      <c r="C17" s="23" t="s">
        <v>56</v>
      </c>
      <c r="D17" s="8">
        <v>2</v>
      </c>
      <c r="E17" s="7">
        <v>0</v>
      </c>
      <c r="F17" s="9">
        <v>3</v>
      </c>
      <c r="O17" s="9">
        <v>1</v>
      </c>
      <c r="S17" s="8">
        <f>IF(tblHelmet[[#This Row],[Name]]="","",
IF( AND(
        Sheet1!$A$2 &gt;= tblHelmet[[#This Row],[min_cor]],
        Sheet1!$B$2 &gt;= tblHelmet[[#This Row],[min_spi]],
        Sheet1!$C$2 &gt;= tblHelmet[[#This Row],[min_gra]]
    ),
    _xlfn.FLOOR.MATH(
        value*tblHelmet[[#This Row],[phy_cor]]*Sheet1!$A$2 +
        value*tblHelmet[[#This Row],[phy_spi]]*Sheet1!$B$2 +
        value*tblHelmet[[#This Row],[phy_gra]]*Sheet1!$C$2
    ) + tblHelmet[[#This Row],[Base_phy]],
    tblHelmet[[#This Row],[Base_phy]]
))</f>
        <v>2</v>
      </c>
      <c r="T17" s="7">
        <f>IF(tblHelmet[[#This Row],[Name]]="","",
IF(AND(Sheet1!$A$2&gt;=tblHelmet[[#This Row],[min_cor]],
       Sheet1!$B$2&gt;=tblHelmet[[#This Row],[min_spi]],
       Sheet1!$C$2&gt;=tblHelmet[[#This Row],[min_gra]]),
   _xlfn.FLOOR.MATH(value*tblHelmet[[#This Row],[mag_cor]]*Sheet1!$A$2 +
              value*tblHelmet[[#This Row],[mag_spi]]*Sheet1!$B$2 +
              value*tblHelmet[[#This Row],[mag_gra]]*Sheet1!$C$2)
   + tblHelmet[[#This Row],[Base_mag]],
   tblHelmet[[#This Row],[Base_mag]]))</f>
        <v>0</v>
      </c>
      <c r="U17" s="9">
        <f>IF(tblHelmet[[#This Row],[Name]]="","",
IF(AND(Sheet1!$A$2&gt;=tblHelmet[[#This Row],[min_cor]],
       Sheet1!$B$2&gt;=tblHelmet[[#This Row],[min_spi]],
       Sheet1!$C$2&gt;=tblHelmet[[#This Row],[min_gra]]),
   _xlfn.FLOOR.MATH(value*tblHelmet[[#This Row],[sta_cor]]*Sheet1!$A$2 +
              value*tblHelmet[[#This Row],[sta_spi]]*Sheet1!$B$2 +
              value*tblHelmet[[#This Row],[sta_gra]]*Sheet1!$C$2)
   + tblHelmet[[#This Row],[Base_sta]],
   tblHelmet[[#This Row],[Base_sta]]))</f>
        <v>7</v>
      </c>
      <c r="V17" s="7">
        <f>IF(tblHelmet[[#This Row],[Name]]="","",
tblHelmet[[#This Row],[phy]]*Sheet1!$E$2 +
tblHelmet[[#This Row],[mag]]*Sheet1!$F$2 +
tblHelmet[[#This Row],[sta]]*Sheet1!$G$2)</f>
        <v>9</v>
      </c>
      <c r="W17" s="7">
        <f>IF(tblHelmet[[#This Row],[Name]]="","",
_xlfn.RANK.EQ(tblHelmet[[#This Row],[Score]], tblHelmet[Score], 0))</f>
        <v>8</v>
      </c>
    </row>
    <row r="18" spans="1:23" x14ac:dyDescent="0.3">
      <c r="A18" s="23" t="s">
        <v>133</v>
      </c>
      <c r="B18" s="23" t="s">
        <v>86</v>
      </c>
      <c r="C18" s="23" t="s">
        <v>58</v>
      </c>
      <c r="D18" s="8">
        <v>2</v>
      </c>
      <c r="E18" s="7">
        <v>2</v>
      </c>
      <c r="F18" s="9">
        <v>1</v>
      </c>
      <c r="H18" s="7">
        <v>2</v>
      </c>
      <c r="K18" s="7">
        <v>2</v>
      </c>
      <c r="N18" s="7">
        <v>2</v>
      </c>
      <c r="Q18" s="7">
        <v>14</v>
      </c>
      <c r="S18" s="8">
        <f>IF(tblHelmet[[#This Row],[Name]]="","",
IF( AND(
        Sheet1!$A$2 &gt;= tblHelmet[[#This Row],[min_cor]],
        Sheet1!$B$2 &gt;= tblHelmet[[#This Row],[min_spi]],
        Sheet1!$C$2 &gt;= tblHelmet[[#This Row],[min_gra]]
    ),
    _xlfn.FLOOR.MATH(
        value*tblHelmet[[#This Row],[phy_cor]]*Sheet1!$A$2 +
        value*tblHelmet[[#This Row],[phy_spi]]*Sheet1!$B$2 +
        value*tblHelmet[[#This Row],[phy_gra]]*Sheet1!$C$2
    ) + tblHelmet[[#This Row],[Base_phy]],
    tblHelmet[[#This Row],[Base_phy]]
))</f>
        <v>2</v>
      </c>
      <c r="T18" s="7">
        <f>IF(tblHelmet[[#This Row],[Name]]="","",
IF(AND(Sheet1!$A$2&gt;=tblHelmet[[#This Row],[min_cor]],
       Sheet1!$B$2&gt;=tblHelmet[[#This Row],[min_spi]],
       Sheet1!$C$2&gt;=tblHelmet[[#This Row],[min_gra]]),
   _xlfn.FLOOR.MATH(value*tblHelmet[[#This Row],[mag_cor]]*Sheet1!$A$2 +
              value*tblHelmet[[#This Row],[mag_spi]]*Sheet1!$B$2 +
              value*tblHelmet[[#This Row],[mag_gra]]*Sheet1!$C$2)
   + tblHelmet[[#This Row],[Base_mag]],
   tblHelmet[[#This Row],[Base_mag]]))</f>
        <v>2</v>
      </c>
      <c r="U18" s="9">
        <f>IF(tblHelmet[[#This Row],[Name]]="","",
IF(AND(Sheet1!$A$2&gt;=tblHelmet[[#This Row],[min_cor]],
       Sheet1!$B$2&gt;=tblHelmet[[#This Row],[min_spi]],
       Sheet1!$C$2&gt;=tblHelmet[[#This Row],[min_gra]]),
   _xlfn.FLOOR.MATH(value*tblHelmet[[#This Row],[sta_cor]]*Sheet1!$A$2 +
              value*tblHelmet[[#This Row],[sta_spi]]*Sheet1!$B$2 +
              value*tblHelmet[[#This Row],[sta_gra]]*Sheet1!$C$2)
   + tblHelmet[[#This Row],[Base_sta]],
   tblHelmet[[#This Row],[Base_sta]]))</f>
        <v>1</v>
      </c>
      <c r="V18" s="7">
        <f>IF(tblHelmet[[#This Row],[Name]]="","",
tblHelmet[[#This Row],[phy]]*Sheet1!$E$2 +
tblHelmet[[#This Row],[mag]]*Sheet1!$F$2 +
tblHelmet[[#This Row],[sta]]*Sheet1!$G$2)</f>
        <v>5</v>
      </c>
      <c r="W18" s="7">
        <f>IF(tblHelmet[[#This Row],[Name]]="","",
_xlfn.RANK.EQ(tblHelmet[[#This Row],[Score]], tblHelmet[Score], 0))</f>
        <v>20</v>
      </c>
    </row>
    <row r="19" spans="1:23" x14ac:dyDescent="0.3">
      <c r="A19" s="23" t="s">
        <v>132</v>
      </c>
      <c r="B19" s="23" t="s">
        <v>87</v>
      </c>
      <c r="C19" s="23" t="s">
        <v>38</v>
      </c>
      <c r="D19" s="8">
        <v>3</v>
      </c>
      <c r="E19" s="7">
        <v>0</v>
      </c>
      <c r="F19" s="9">
        <v>3</v>
      </c>
      <c r="I19" s="18">
        <v>2</v>
      </c>
      <c r="O19" s="9">
        <v>2</v>
      </c>
      <c r="R19" s="7">
        <v>10</v>
      </c>
      <c r="S19" s="8">
        <f>IF(tblHelmet[[#This Row],[Name]]="","",
IF( AND(
        Sheet1!$A$2 &gt;= tblHelmet[[#This Row],[min_cor]],
        Sheet1!$B$2 &gt;= tblHelmet[[#This Row],[min_spi]],
        Sheet1!$C$2 &gt;= tblHelmet[[#This Row],[min_gra]]
    ),
    _xlfn.FLOOR.MATH(
        value*tblHelmet[[#This Row],[phy_cor]]*Sheet1!$A$2 +
        value*tblHelmet[[#This Row],[phy_spi]]*Sheet1!$B$2 +
        value*tblHelmet[[#This Row],[phy_gra]]*Sheet1!$C$2
    ) + tblHelmet[[#This Row],[Base_phy]],
    tblHelmet[[#This Row],[Base_phy]]
))</f>
        <v>12</v>
      </c>
      <c r="T19" s="7">
        <f>IF(tblHelmet[[#This Row],[Name]]="","",
IF(AND(Sheet1!$A$2&gt;=tblHelmet[[#This Row],[min_cor]],
       Sheet1!$B$2&gt;=tblHelmet[[#This Row],[min_spi]],
       Sheet1!$C$2&gt;=tblHelmet[[#This Row],[min_gra]]),
   _xlfn.FLOOR.MATH(value*tblHelmet[[#This Row],[mag_cor]]*Sheet1!$A$2 +
              value*tblHelmet[[#This Row],[mag_spi]]*Sheet1!$B$2 +
              value*tblHelmet[[#This Row],[mag_gra]]*Sheet1!$C$2)
   + tblHelmet[[#This Row],[Base_mag]],
   tblHelmet[[#This Row],[Base_mag]]))</f>
        <v>0</v>
      </c>
      <c r="U19" s="9">
        <f>IF(tblHelmet[[#This Row],[Name]]="","",
IF(AND(Sheet1!$A$2&gt;=tblHelmet[[#This Row],[min_cor]],
       Sheet1!$B$2&gt;=tblHelmet[[#This Row],[min_spi]],
       Sheet1!$C$2&gt;=tblHelmet[[#This Row],[min_gra]]),
   _xlfn.FLOOR.MATH(value*tblHelmet[[#This Row],[sta_cor]]*Sheet1!$A$2 +
              value*tblHelmet[[#This Row],[sta_spi]]*Sheet1!$B$2 +
              value*tblHelmet[[#This Row],[sta_gra]]*Sheet1!$C$2)
   + tblHelmet[[#This Row],[Base_sta]],
   tblHelmet[[#This Row],[Base_sta]]))</f>
        <v>12</v>
      </c>
      <c r="V19" s="7">
        <f>IF(tblHelmet[[#This Row],[Name]]="","",
tblHelmet[[#This Row],[phy]]*Sheet1!$E$2 +
tblHelmet[[#This Row],[mag]]*Sheet1!$F$2 +
tblHelmet[[#This Row],[sta]]*Sheet1!$G$2)</f>
        <v>24</v>
      </c>
      <c r="W19" s="7">
        <f>IF(tblHelmet[[#This Row],[Name]]="","",
_xlfn.RANK.EQ(tblHelmet[[#This Row],[Score]], tblHelmet[Score], 0))</f>
        <v>6</v>
      </c>
    </row>
    <row r="20" spans="1:23" x14ac:dyDescent="0.3">
      <c r="A20" s="23" t="s">
        <v>154</v>
      </c>
      <c r="B20" s="23" t="s">
        <v>88</v>
      </c>
      <c r="C20" s="23" t="s">
        <v>39</v>
      </c>
      <c r="D20" s="8">
        <v>3</v>
      </c>
      <c r="E20" s="7">
        <v>0</v>
      </c>
      <c r="F20" s="9">
        <v>2</v>
      </c>
      <c r="G20" s="8">
        <v>1</v>
      </c>
      <c r="S20" s="8">
        <f>IF(tblHelmet[[#This Row],[Name]]="","",
IF( AND(
        Sheet1!$A$2 &gt;= tblHelmet[[#This Row],[min_cor]],
        Sheet1!$B$2 &gt;= tblHelmet[[#This Row],[min_spi]],
        Sheet1!$C$2 &gt;= tblHelmet[[#This Row],[min_gra]]
    ),
    _xlfn.FLOOR.MATH(
        value*tblHelmet[[#This Row],[phy_cor]]*Sheet1!$A$2 +
        value*tblHelmet[[#This Row],[phy_spi]]*Sheet1!$B$2 +
        value*tblHelmet[[#This Row],[phy_gra]]*Sheet1!$C$2
    ) + tblHelmet[[#This Row],[Base_phy]],
    tblHelmet[[#This Row],[Base_phy]]
))</f>
        <v>3</v>
      </c>
      <c r="T20" s="7">
        <f>IF(tblHelmet[[#This Row],[Name]]="","",
IF(AND(Sheet1!$A$2&gt;=tblHelmet[[#This Row],[min_cor]],
       Sheet1!$B$2&gt;=tblHelmet[[#This Row],[min_spi]],
       Sheet1!$C$2&gt;=tblHelmet[[#This Row],[min_gra]]),
   _xlfn.FLOOR.MATH(value*tblHelmet[[#This Row],[mag_cor]]*Sheet1!$A$2 +
              value*tblHelmet[[#This Row],[mag_spi]]*Sheet1!$B$2 +
              value*tblHelmet[[#This Row],[mag_gra]]*Sheet1!$C$2)
   + tblHelmet[[#This Row],[Base_mag]],
   tblHelmet[[#This Row],[Base_mag]]))</f>
        <v>0</v>
      </c>
      <c r="U20" s="9">
        <f>IF(tblHelmet[[#This Row],[Name]]="","",
IF(AND(Sheet1!$A$2&gt;=tblHelmet[[#This Row],[min_cor]],
       Sheet1!$B$2&gt;=tblHelmet[[#This Row],[min_spi]],
       Sheet1!$C$2&gt;=tblHelmet[[#This Row],[min_gra]]),
   _xlfn.FLOOR.MATH(value*tblHelmet[[#This Row],[sta_cor]]*Sheet1!$A$2 +
              value*tblHelmet[[#This Row],[sta_spi]]*Sheet1!$B$2 +
              value*tblHelmet[[#This Row],[sta_gra]]*Sheet1!$C$2)
   + tblHelmet[[#This Row],[Base_sta]],
   tblHelmet[[#This Row],[Base_sta]]))</f>
        <v>2</v>
      </c>
      <c r="V20" s="7">
        <f>IF(tblHelmet[[#This Row],[Name]]="","",
tblHelmet[[#This Row],[phy]]*Sheet1!$E$2 +
tblHelmet[[#This Row],[mag]]*Sheet1!$F$2 +
tblHelmet[[#This Row],[sta]]*Sheet1!$G$2)</f>
        <v>5</v>
      </c>
      <c r="W20" s="7">
        <f>IF(tblHelmet[[#This Row],[Name]]="","",
_xlfn.RANK.EQ(tblHelmet[[#This Row],[Score]], tblHelmet[Score], 0))</f>
        <v>20</v>
      </c>
    </row>
    <row r="21" spans="1:23" x14ac:dyDescent="0.3">
      <c r="A21" s="23" t="s">
        <v>122</v>
      </c>
      <c r="B21" s="23" t="s">
        <v>89</v>
      </c>
      <c r="C21" s="23" t="s">
        <v>17</v>
      </c>
      <c r="D21" s="8">
        <v>4</v>
      </c>
      <c r="E21" s="7">
        <v>2</v>
      </c>
      <c r="F21" s="9">
        <v>1</v>
      </c>
      <c r="G21" s="8">
        <v>2</v>
      </c>
      <c r="J21" s="21">
        <v>2</v>
      </c>
      <c r="M21" s="21">
        <v>2</v>
      </c>
      <c r="P21" s="7">
        <v>16</v>
      </c>
      <c r="S21" s="8">
        <f>IF(tblHelmet[[#This Row],[Name]]="","",
IF( AND(
        Sheet1!$A$2 &gt;= tblHelmet[[#This Row],[min_cor]],
        Sheet1!$B$2 &gt;= tblHelmet[[#This Row],[min_spi]],
        Sheet1!$C$2 &gt;= tblHelmet[[#This Row],[min_gra]]
    ),
    _xlfn.FLOOR.MATH(
        value*tblHelmet[[#This Row],[phy_cor]]*Sheet1!$A$2 +
        value*tblHelmet[[#This Row],[phy_spi]]*Sheet1!$B$2 +
        value*tblHelmet[[#This Row],[phy_gra]]*Sheet1!$C$2
    ) + tblHelmet[[#This Row],[Base_phy]],
    tblHelmet[[#This Row],[Base_phy]]
))</f>
        <v>4</v>
      </c>
      <c r="T21" s="7">
        <f>IF(tblHelmet[[#This Row],[Name]]="","",
IF(AND(Sheet1!$A$2&gt;=tblHelmet[[#This Row],[min_cor]],
       Sheet1!$B$2&gt;=tblHelmet[[#This Row],[min_spi]],
       Sheet1!$C$2&gt;=tblHelmet[[#This Row],[min_gra]]),
   _xlfn.FLOOR.MATH(value*tblHelmet[[#This Row],[mag_cor]]*Sheet1!$A$2 +
              value*tblHelmet[[#This Row],[mag_spi]]*Sheet1!$B$2 +
              value*tblHelmet[[#This Row],[mag_gra]]*Sheet1!$C$2)
   + tblHelmet[[#This Row],[Base_mag]],
   tblHelmet[[#This Row],[Base_mag]]))</f>
        <v>2</v>
      </c>
      <c r="U21" s="9">
        <f>IF(tblHelmet[[#This Row],[Name]]="","",
IF(AND(Sheet1!$A$2&gt;=tblHelmet[[#This Row],[min_cor]],
       Sheet1!$B$2&gt;=tblHelmet[[#This Row],[min_spi]],
       Sheet1!$C$2&gt;=tblHelmet[[#This Row],[min_gra]]),
   _xlfn.FLOOR.MATH(value*tblHelmet[[#This Row],[sta_cor]]*Sheet1!$A$2 +
              value*tblHelmet[[#This Row],[sta_spi]]*Sheet1!$B$2 +
              value*tblHelmet[[#This Row],[sta_gra]]*Sheet1!$C$2)
   + tblHelmet[[#This Row],[Base_sta]],
   tblHelmet[[#This Row],[Base_sta]]))</f>
        <v>1</v>
      </c>
      <c r="V21" s="7">
        <f>IF(tblHelmet[[#This Row],[Name]]="","",
tblHelmet[[#This Row],[phy]]*Sheet1!$E$2 +
tblHelmet[[#This Row],[mag]]*Sheet1!$F$2 +
tblHelmet[[#This Row],[sta]]*Sheet1!$G$2)</f>
        <v>7</v>
      </c>
      <c r="W21" s="7">
        <f>IF(tblHelmet[[#This Row],[Name]]="","",
_xlfn.RANK.EQ(tblHelmet[[#This Row],[Score]], tblHelmet[Score], 0))</f>
        <v>9</v>
      </c>
    </row>
    <row r="22" spans="1:23" x14ac:dyDescent="0.3">
      <c r="A22" s="23" t="s">
        <v>127</v>
      </c>
      <c r="B22" s="23" t="s">
        <v>90</v>
      </c>
      <c r="C22" s="23" t="s">
        <v>17</v>
      </c>
      <c r="D22" s="8">
        <v>3</v>
      </c>
      <c r="E22" s="7">
        <v>0</v>
      </c>
      <c r="F22" s="9">
        <v>2</v>
      </c>
      <c r="G22" s="8">
        <v>2</v>
      </c>
      <c r="I22" s="18">
        <v>2</v>
      </c>
      <c r="M22" s="21">
        <v>2</v>
      </c>
      <c r="O22" s="9">
        <v>2</v>
      </c>
      <c r="R22" s="7">
        <v>17</v>
      </c>
      <c r="S22" s="8">
        <f>IF(tblHelmet[[#This Row],[Name]]="","",
IF( AND(
        Sheet1!$A$2 &gt;= tblHelmet[[#This Row],[min_cor]],
        Sheet1!$B$2 &gt;= tblHelmet[[#This Row],[min_spi]],
        Sheet1!$C$2 &gt;= tblHelmet[[#This Row],[min_gra]]
    ),
    _xlfn.FLOOR.MATH(
        value*tblHelmet[[#This Row],[phy_cor]]*Sheet1!$A$2 +
        value*tblHelmet[[#This Row],[phy_spi]]*Sheet1!$B$2 +
        value*tblHelmet[[#This Row],[phy_gra]]*Sheet1!$C$2
    ) + tblHelmet[[#This Row],[Base_phy]],
    tblHelmet[[#This Row],[Base_phy]]
))</f>
        <v>14</v>
      </c>
      <c r="T22" s="7">
        <f>IF(tblHelmet[[#This Row],[Name]]="","",
IF(AND(Sheet1!$A$2&gt;=tblHelmet[[#This Row],[min_cor]],
       Sheet1!$B$2&gt;=tblHelmet[[#This Row],[min_spi]],
       Sheet1!$C$2&gt;=tblHelmet[[#This Row],[min_gra]]),
   _xlfn.FLOOR.MATH(value*tblHelmet[[#This Row],[mag_cor]]*Sheet1!$A$2 +
              value*tblHelmet[[#This Row],[mag_spi]]*Sheet1!$B$2 +
              value*tblHelmet[[#This Row],[mag_gra]]*Sheet1!$C$2)
   + tblHelmet[[#This Row],[Base_mag]],
   tblHelmet[[#This Row],[Base_mag]]))</f>
        <v>0</v>
      </c>
      <c r="U22" s="9">
        <f>IF(tblHelmet[[#This Row],[Name]]="","",
IF(AND(Sheet1!$A$2&gt;=tblHelmet[[#This Row],[min_cor]],
       Sheet1!$B$2&gt;=tblHelmet[[#This Row],[min_spi]],
       Sheet1!$C$2&gt;=tblHelmet[[#This Row],[min_gra]]),
   _xlfn.FLOOR.MATH(value*tblHelmet[[#This Row],[sta_cor]]*Sheet1!$A$2 +
              value*tblHelmet[[#This Row],[sta_spi]]*Sheet1!$B$2 +
              value*tblHelmet[[#This Row],[sta_gra]]*Sheet1!$C$2)
   + tblHelmet[[#This Row],[Base_sta]],
   tblHelmet[[#This Row],[Base_sta]]))</f>
        <v>13</v>
      </c>
      <c r="V22" s="7">
        <f>IF(tblHelmet[[#This Row],[Name]]="","",
tblHelmet[[#This Row],[phy]]*Sheet1!$E$2 +
tblHelmet[[#This Row],[mag]]*Sheet1!$F$2 +
tblHelmet[[#This Row],[sta]]*Sheet1!$G$2)</f>
        <v>27</v>
      </c>
      <c r="W22" s="7">
        <f>IF(tblHelmet[[#This Row],[Name]]="","",
_xlfn.RANK.EQ(tblHelmet[[#This Row],[Score]], tblHelmet[Score], 0))</f>
        <v>5</v>
      </c>
    </row>
    <row r="23" spans="1:23" x14ac:dyDescent="0.3">
      <c r="A23" s="23" t="s">
        <v>185</v>
      </c>
      <c r="B23" s="24" t="s">
        <v>165</v>
      </c>
      <c r="C23" s="23" t="s">
        <v>166</v>
      </c>
      <c r="D23" s="8">
        <v>2</v>
      </c>
      <c r="E23" s="7">
        <v>3</v>
      </c>
      <c r="F23" s="9">
        <v>2</v>
      </c>
      <c r="H23" s="7">
        <v>2</v>
      </c>
      <c r="K23" s="7">
        <v>3</v>
      </c>
      <c r="N23" s="7">
        <v>1</v>
      </c>
      <c r="Q23" s="7">
        <v>22</v>
      </c>
      <c r="S23" s="8">
        <f>IF(tblHelmet[[#This Row],[Name]]="","",
IF( AND(
        Sheet1!$A$2 &gt;= tblHelmet[[#This Row],[min_cor]],
        Sheet1!$B$2 &gt;= tblHelmet[[#This Row],[min_spi]],
        Sheet1!$C$2 &gt;= tblHelmet[[#This Row],[min_gra]]
    ),
    _xlfn.FLOOR.MATH(
        value*tblHelmet[[#This Row],[phy_cor]]*Sheet1!$A$2 +
        value*tblHelmet[[#This Row],[phy_spi]]*Sheet1!$B$2 +
        value*tblHelmet[[#This Row],[phy_gra]]*Sheet1!$C$2
    ) + tblHelmet[[#This Row],[Base_phy]],
    tblHelmet[[#This Row],[Base_phy]]
))</f>
        <v>2</v>
      </c>
      <c r="T23" s="7">
        <f>IF(tblHelmet[[#This Row],[Name]]="","",
IF(AND(Sheet1!$A$2&gt;=tblHelmet[[#This Row],[min_cor]],
       Sheet1!$B$2&gt;=tblHelmet[[#This Row],[min_spi]],
       Sheet1!$C$2&gt;=tblHelmet[[#This Row],[min_gra]]),
   _xlfn.FLOOR.MATH(value*tblHelmet[[#This Row],[mag_cor]]*Sheet1!$A$2 +
              value*tblHelmet[[#This Row],[mag_spi]]*Sheet1!$B$2 +
              value*tblHelmet[[#This Row],[mag_gra]]*Sheet1!$C$2)
   + tblHelmet[[#This Row],[Base_mag]],
   tblHelmet[[#This Row],[Base_mag]]))</f>
        <v>3</v>
      </c>
      <c r="U23" s="9">
        <f>IF(tblHelmet[[#This Row],[Name]]="","",
IF(AND(Sheet1!$A$2&gt;=tblHelmet[[#This Row],[min_cor]],
       Sheet1!$B$2&gt;=tblHelmet[[#This Row],[min_spi]],
       Sheet1!$C$2&gt;=tblHelmet[[#This Row],[min_gra]]),
   _xlfn.FLOOR.MATH(value*tblHelmet[[#This Row],[sta_cor]]*Sheet1!$A$2 +
              value*tblHelmet[[#This Row],[sta_spi]]*Sheet1!$B$2 +
              value*tblHelmet[[#This Row],[sta_gra]]*Sheet1!$C$2)
   + tblHelmet[[#This Row],[Base_sta]],
   tblHelmet[[#This Row],[Base_sta]]))</f>
        <v>2</v>
      </c>
      <c r="V23" s="7">
        <f>IF(tblHelmet[[#This Row],[Name]]="","",
tblHelmet[[#This Row],[phy]]*Sheet1!$E$2 +
tblHelmet[[#This Row],[mag]]*Sheet1!$F$2 +
tblHelmet[[#This Row],[sta]]*Sheet1!$G$2)</f>
        <v>7</v>
      </c>
      <c r="W23" s="7">
        <f>IF(tblHelmet[[#This Row],[Name]]="","",
_xlfn.RANK.EQ(tblHelmet[[#This Row],[Score]], tblHelmet[Score], 0))</f>
        <v>9</v>
      </c>
    </row>
    <row r="24" spans="1:23" x14ac:dyDescent="0.3">
      <c r="A24" s="23" t="s">
        <v>115</v>
      </c>
      <c r="B24" s="23" t="s">
        <v>91</v>
      </c>
      <c r="C24" s="23" t="s">
        <v>67</v>
      </c>
      <c r="D24" s="8">
        <v>1</v>
      </c>
      <c r="E24" s="7">
        <v>3</v>
      </c>
      <c r="F24" s="9">
        <v>0</v>
      </c>
      <c r="H24" s="7">
        <v>2</v>
      </c>
      <c r="K24" s="7">
        <v>1</v>
      </c>
      <c r="S24" s="8">
        <f>IF(tblHelmet[[#This Row],[Name]]="","",
IF( AND(
        Sheet1!$A$2 &gt;= tblHelmet[[#This Row],[min_cor]],
        Sheet1!$B$2 &gt;= tblHelmet[[#This Row],[min_spi]],
        Sheet1!$C$2 &gt;= tblHelmet[[#This Row],[min_gra]]
    ),
    _xlfn.FLOOR.MATH(
        value*tblHelmet[[#This Row],[phy_cor]]*Sheet1!$A$2 +
        value*tblHelmet[[#This Row],[phy_spi]]*Sheet1!$B$2 +
        value*tblHelmet[[#This Row],[phy_gra]]*Sheet1!$C$2
    ) + tblHelmet[[#This Row],[Base_phy]],
    tblHelmet[[#This Row],[Base_phy]]
))</f>
        <v>2</v>
      </c>
      <c r="T24" s="7">
        <f>IF(tblHelmet[[#This Row],[Name]]="","",
IF(AND(Sheet1!$A$2&gt;=tblHelmet[[#This Row],[min_cor]],
       Sheet1!$B$2&gt;=tblHelmet[[#This Row],[min_spi]],
       Sheet1!$C$2&gt;=tblHelmet[[#This Row],[min_gra]]),
   _xlfn.FLOOR.MATH(value*tblHelmet[[#This Row],[mag_cor]]*Sheet1!$A$2 +
              value*tblHelmet[[#This Row],[mag_spi]]*Sheet1!$B$2 +
              value*tblHelmet[[#This Row],[mag_gra]]*Sheet1!$C$2)
   + tblHelmet[[#This Row],[Base_mag]],
   tblHelmet[[#This Row],[Base_mag]]))</f>
        <v>3</v>
      </c>
      <c r="U24" s="9">
        <f>IF(tblHelmet[[#This Row],[Name]]="","",
IF(AND(Sheet1!$A$2&gt;=tblHelmet[[#This Row],[min_cor]],
       Sheet1!$B$2&gt;=tblHelmet[[#This Row],[min_spi]],
       Sheet1!$C$2&gt;=tblHelmet[[#This Row],[min_gra]]),
   _xlfn.FLOOR.MATH(value*tblHelmet[[#This Row],[sta_cor]]*Sheet1!$A$2 +
              value*tblHelmet[[#This Row],[sta_spi]]*Sheet1!$B$2 +
              value*tblHelmet[[#This Row],[sta_gra]]*Sheet1!$C$2)
   + tblHelmet[[#This Row],[Base_sta]],
   tblHelmet[[#This Row],[Base_sta]]))</f>
        <v>0</v>
      </c>
      <c r="V24" s="7">
        <f>IF(tblHelmet[[#This Row],[Name]]="","",
tblHelmet[[#This Row],[phy]]*Sheet1!$E$2 +
tblHelmet[[#This Row],[mag]]*Sheet1!$F$2 +
tblHelmet[[#This Row],[sta]]*Sheet1!$G$2)</f>
        <v>5</v>
      </c>
      <c r="W24" s="7">
        <f>IF(tblHelmet[[#This Row],[Name]]="","",
_xlfn.RANK.EQ(tblHelmet[[#This Row],[Score]], tblHelmet[Score], 0))</f>
        <v>20</v>
      </c>
    </row>
    <row r="25" spans="1:23" x14ac:dyDescent="0.3">
      <c r="A25" s="23" t="s">
        <v>116</v>
      </c>
      <c r="B25" s="23" t="s">
        <v>92</v>
      </c>
      <c r="C25" s="23" t="s">
        <v>119</v>
      </c>
      <c r="D25" s="8">
        <v>2</v>
      </c>
      <c r="E25" s="7">
        <v>0</v>
      </c>
      <c r="F25" s="9">
        <v>3</v>
      </c>
      <c r="I25" s="18">
        <v>2</v>
      </c>
      <c r="O25" s="9">
        <v>1</v>
      </c>
      <c r="S25" s="8">
        <f>IF(tblHelmet[[#This Row],[Name]]="","",
IF( AND(
        Sheet1!$A$2 &gt;= tblHelmet[[#This Row],[min_cor]],
        Sheet1!$B$2 &gt;= tblHelmet[[#This Row],[min_spi]],
        Sheet1!$C$2 &gt;= tblHelmet[[#This Row],[min_gra]]
    ),
    _xlfn.FLOOR.MATH(
        value*tblHelmet[[#This Row],[phy_cor]]*Sheet1!$A$2 +
        value*tblHelmet[[#This Row],[phy_spi]]*Sheet1!$B$2 +
        value*tblHelmet[[#This Row],[phy_gra]]*Sheet1!$C$2
    ) + tblHelmet[[#This Row],[Base_phy]],
    tblHelmet[[#This Row],[Base_phy]]
))</f>
        <v>11</v>
      </c>
      <c r="T25" s="7">
        <f>IF(tblHelmet[[#This Row],[Name]]="","",
IF(AND(Sheet1!$A$2&gt;=tblHelmet[[#This Row],[min_cor]],
       Sheet1!$B$2&gt;=tblHelmet[[#This Row],[min_spi]],
       Sheet1!$C$2&gt;=tblHelmet[[#This Row],[min_gra]]),
   _xlfn.FLOOR.MATH(value*tblHelmet[[#This Row],[mag_cor]]*Sheet1!$A$2 +
              value*tblHelmet[[#This Row],[mag_spi]]*Sheet1!$B$2 +
              value*tblHelmet[[#This Row],[mag_gra]]*Sheet1!$C$2)
   + tblHelmet[[#This Row],[Base_mag]],
   tblHelmet[[#This Row],[Base_mag]]))</f>
        <v>0</v>
      </c>
      <c r="U25" s="9">
        <f>IF(tblHelmet[[#This Row],[Name]]="","",
IF(AND(Sheet1!$A$2&gt;=tblHelmet[[#This Row],[min_cor]],
       Sheet1!$B$2&gt;=tblHelmet[[#This Row],[min_spi]],
       Sheet1!$C$2&gt;=tblHelmet[[#This Row],[min_gra]]),
   _xlfn.FLOOR.MATH(value*tblHelmet[[#This Row],[sta_cor]]*Sheet1!$A$2 +
              value*tblHelmet[[#This Row],[sta_spi]]*Sheet1!$B$2 +
              value*tblHelmet[[#This Row],[sta_gra]]*Sheet1!$C$2)
   + tblHelmet[[#This Row],[Base_sta]],
   tblHelmet[[#This Row],[Base_sta]]))</f>
        <v>7</v>
      </c>
      <c r="V25" s="7">
        <f>IF(tblHelmet[[#This Row],[Name]]="","",
tblHelmet[[#This Row],[phy]]*Sheet1!$E$2 +
tblHelmet[[#This Row],[mag]]*Sheet1!$F$2 +
tblHelmet[[#This Row],[sta]]*Sheet1!$G$2)</f>
        <v>18</v>
      </c>
      <c r="W25" s="7">
        <f>IF(tblHelmet[[#This Row],[Name]]="","",
_xlfn.RANK.EQ(tblHelmet[[#This Row],[Score]], tblHelmet[Score], 0))</f>
        <v>7</v>
      </c>
    </row>
    <row r="26" spans="1:23" x14ac:dyDescent="0.3">
      <c r="A26" s="23" t="s">
        <v>118</v>
      </c>
      <c r="B26" s="23" t="s">
        <v>93</v>
      </c>
      <c r="C26" s="23" t="s">
        <v>68</v>
      </c>
      <c r="D26" s="8">
        <v>3</v>
      </c>
      <c r="E26" s="7">
        <v>0</v>
      </c>
      <c r="F26" s="9">
        <v>2</v>
      </c>
      <c r="G26" s="8">
        <v>2</v>
      </c>
      <c r="M26" s="21">
        <v>1</v>
      </c>
      <c r="S26" s="8">
        <f>IF(tblHelmet[[#This Row],[Name]]="","",
IF( AND(
        Sheet1!$A$2 &gt;= tblHelmet[[#This Row],[min_cor]],
        Sheet1!$B$2 &gt;= tblHelmet[[#This Row],[min_spi]],
        Sheet1!$C$2 &gt;= tblHelmet[[#This Row],[min_gra]]
    ),
    _xlfn.FLOOR.MATH(
        value*tblHelmet[[#This Row],[phy_cor]]*Sheet1!$A$2 +
        value*tblHelmet[[#This Row],[phy_spi]]*Sheet1!$B$2 +
        value*tblHelmet[[#This Row],[phy_gra]]*Sheet1!$C$2
    ) + tblHelmet[[#This Row],[Base_phy]],
    tblHelmet[[#This Row],[Base_phy]]
))</f>
        <v>4</v>
      </c>
      <c r="T26" s="7">
        <f>IF(tblHelmet[[#This Row],[Name]]="","",
IF(AND(Sheet1!$A$2&gt;=tblHelmet[[#This Row],[min_cor]],
       Sheet1!$B$2&gt;=tblHelmet[[#This Row],[min_spi]],
       Sheet1!$C$2&gt;=tblHelmet[[#This Row],[min_gra]]),
   _xlfn.FLOOR.MATH(value*tblHelmet[[#This Row],[mag_cor]]*Sheet1!$A$2 +
              value*tblHelmet[[#This Row],[mag_spi]]*Sheet1!$B$2 +
              value*tblHelmet[[#This Row],[mag_gra]]*Sheet1!$C$2)
   + tblHelmet[[#This Row],[Base_mag]],
   tblHelmet[[#This Row],[Base_mag]]))</f>
        <v>0</v>
      </c>
      <c r="U26" s="9">
        <f>IF(tblHelmet[[#This Row],[Name]]="","",
IF(AND(Sheet1!$A$2&gt;=tblHelmet[[#This Row],[min_cor]],
       Sheet1!$B$2&gt;=tblHelmet[[#This Row],[min_spi]],
       Sheet1!$C$2&gt;=tblHelmet[[#This Row],[min_gra]]),
   _xlfn.FLOOR.MATH(value*tblHelmet[[#This Row],[sta_cor]]*Sheet1!$A$2 +
              value*tblHelmet[[#This Row],[sta_spi]]*Sheet1!$B$2 +
              value*tblHelmet[[#This Row],[sta_gra]]*Sheet1!$C$2)
   + tblHelmet[[#This Row],[Base_sta]],
   tblHelmet[[#This Row],[Base_sta]]))</f>
        <v>2</v>
      </c>
      <c r="V26" s="7">
        <f>IF(tblHelmet[[#This Row],[Name]]="","",
tblHelmet[[#This Row],[phy]]*Sheet1!$E$2 +
tblHelmet[[#This Row],[mag]]*Sheet1!$F$2 +
tblHelmet[[#This Row],[sta]]*Sheet1!$G$2)</f>
        <v>6</v>
      </c>
      <c r="W26" s="7">
        <f>IF(tblHelmet[[#This Row],[Name]]="","",
_xlfn.RANK.EQ(tblHelmet[[#This Row],[Score]], tblHelmet[Score], 0))</f>
        <v>17</v>
      </c>
    </row>
  </sheetData>
  <sortState xmlns:xlrd2="http://schemas.microsoft.com/office/spreadsheetml/2017/richdata2" ref="A2:W26">
    <sortCondition ref="B1:B26"/>
  </sortState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F02D1-C84A-4A46-A7AE-CEABD15EFC2D}">
  <dimension ref="A1:W21"/>
  <sheetViews>
    <sheetView zoomScale="70" zoomScaleNormal="70" workbookViewId="0">
      <selection activeCell="F36" sqref="F36"/>
    </sheetView>
  </sheetViews>
  <sheetFormatPr defaultRowHeight="14" x14ac:dyDescent="0.3"/>
  <cols>
    <col min="1" max="1" width="20.9140625" style="1" customWidth="1"/>
    <col min="2" max="3" width="20.58203125" style="1" customWidth="1"/>
    <col min="4" max="4" width="10.08203125" style="4" customWidth="1"/>
    <col min="5" max="5" width="10.58203125" style="1" customWidth="1"/>
    <col min="6" max="6" width="9.25" style="5" customWidth="1"/>
    <col min="7" max="7" width="9.08203125" style="1" customWidth="1"/>
    <col min="8" max="8" width="8.6640625" style="1" customWidth="1"/>
    <col min="9" max="9" width="9.1640625" style="3" customWidth="1"/>
    <col min="10" max="10" width="9.5" style="1" customWidth="1"/>
    <col min="11" max="11" width="9.1640625" style="1" customWidth="1"/>
    <col min="12" max="12" width="9.6640625" style="3" customWidth="1"/>
    <col min="13" max="15" width="8.6640625" style="1" customWidth="1"/>
    <col min="16" max="16" width="9.08203125" style="4" customWidth="1"/>
    <col min="17" max="17" width="8.6640625" style="1" customWidth="1"/>
    <col min="18" max="18" width="9.1640625" style="1" customWidth="1"/>
    <col min="19" max="19" width="10.4140625" style="4" bestFit="1" customWidth="1"/>
    <col min="20" max="20" width="9.33203125" style="1" bestFit="1" customWidth="1"/>
    <col min="21" max="21" width="10.4140625" style="5" bestFit="1" customWidth="1"/>
    <col min="22" max="22" width="8.6640625" style="1" customWidth="1"/>
    <col min="23" max="23" width="8.6640625" style="7" customWidth="1"/>
    <col min="24" max="16384" width="8.6640625" style="1"/>
  </cols>
  <sheetData>
    <row r="1" spans="1:23" x14ac:dyDescent="0.3">
      <c r="A1" s="7" t="s">
        <v>0</v>
      </c>
      <c r="B1" s="7" t="s">
        <v>20</v>
      </c>
      <c r="C1" s="7" t="s">
        <v>1</v>
      </c>
      <c r="D1" s="8" t="s">
        <v>13</v>
      </c>
      <c r="E1" s="7" t="s">
        <v>2</v>
      </c>
      <c r="F1" s="9" t="s">
        <v>3</v>
      </c>
      <c r="G1" s="10" t="s">
        <v>19</v>
      </c>
      <c r="H1" s="11" t="s">
        <v>14</v>
      </c>
      <c r="I1" s="12" t="s">
        <v>15</v>
      </c>
      <c r="J1" s="10" t="s">
        <v>4</v>
      </c>
      <c r="K1" s="11" t="s">
        <v>5</v>
      </c>
      <c r="L1" s="12" t="s">
        <v>6</v>
      </c>
      <c r="M1" s="13" t="s">
        <v>7</v>
      </c>
      <c r="N1" s="14" t="s">
        <v>8</v>
      </c>
      <c r="O1" s="15" t="s">
        <v>9</v>
      </c>
      <c r="P1" s="16" t="s">
        <v>10</v>
      </c>
      <c r="Q1" s="11" t="s">
        <v>11</v>
      </c>
      <c r="R1" s="17" t="s">
        <v>12</v>
      </c>
      <c r="S1" s="8" t="s">
        <v>155</v>
      </c>
      <c r="T1" s="7" t="s">
        <v>156</v>
      </c>
      <c r="U1" s="9" t="s">
        <v>157</v>
      </c>
      <c r="V1" s="7" t="s">
        <v>161</v>
      </c>
      <c r="W1" s="7" t="s">
        <v>171</v>
      </c>
    </row>
    <row r="2" spans="1:23" x14ac:dyDescent="0.3">
      <c r="A2" s="7" t="s">
        <v>140</v>
      </c>
      <c r="B2" s="7" t="s">
        <v>95</v>
      </c>
      <c r="C2" s="7" t="s">
        <v>48</v>
      </c>
      <c r="D2" s="8">
        <v>7</v>
      </c>
      <c r="E2" s="7">
        <v>2</v>
      </c>
      <c r="F2" s="9">
        <v>4</v>
      </c>
      <c r="G2" s="7">
        <v>3</v>
      </c>
      <c r="H2" s="7"/>
      <c r="I2" s="18"/>
      <c r="J2" s="7">
        <v>1</v>
      </c>
      <c r="K2" s="7"/>
      <c r="L2" s="18"/>
      <c r="M2" s="7">
        <v>2</v>
      </c>
      <c r="N2" s="7"/>
      <c r="O2" s="7"/>
      <c r="P2" s="8">
        <v>22</v>
      </c>
      <c r="Q2" s="7"/>
      <c r="R2" s="7"/>
      <c r="S2" s="8">
        <f>IF(tblBodyArmor[[#This Row],[Name]]="","",
IF( AND(
        Sheet1!$A$2 &gt;= tblBodyArmor[[#This Row],[min_cor]],
        Sheet1!$B$2 &gt;= tblBodyArmor[[#This Row],[min_spi]],
        Sheet1!$C$2 &gt;= tblBodyArmor[[#This Row],[min_gra]]
    ),
    _xlfn.FLOOR.MATH(
        value*tblBodyArmor[[#This Row],[phy_cor]]*Sheet1!$A$2 +
        value*tblBodyArmor[[#This Row],[phy_spi]]*Sheet1!$B$2 +
        value*tblBodyArmor[[#This Row],[phy_gra]]*Sheet1!$C$2
    ) + tblBodyArmor[[#This Row],[Base_phy]],
    tblBodyArmor[[#This Row],[Base_phy]]
))</f>
        <v>7</v>
      </c>
      <c r="T2" s="7">
        <f>IF(tblBodyArmor[[#This Row],[Name]]="","",
IF(AND(Sheet1!$A$2&gt;=tblBodyArmor[[#This Row],[min_cor]],
       Sheet1!$B$2&gt;=tblBodyArmor[[#This Row],[min_spi]],
       Sheet1!$C$2&gt;=tblBodyArmor[[#This Row],[min_gra]]),
   _xlfn.FLOOR.MATH(value*tblBodyArmor[[#This Row],[mag_cor]]*Sheet1!$A$2 +
              value*tblBodyArmor[[#This Row],[mag_spi]]*Sheet1!$B$2 +
              value*tblBodyArmor[[#This Row],[mag_gra]]*Sheet1!$C$2)
   + tblBodyArmor[[#This Row],[Base_mag]],
   tblBodyArmor[[#This Row],[Base_mag]]))</f>
        <v>2</v>
      </c>
      <c r="U2" s="9">
        <f>IF(tblBodyArmor[[#This Row],[Name]]="","",
IF(AND(Sheet1!$A$2&gt;=tblBodyArmor[[#This Row],[min_cor]],
       Sheet1!$B$2&gt;=tblBodyArmor[[#This Row],[min_spi]],
       Sheet1!$C$2&gt;=tblBodyArmor[[#This Row],[min_gra]]),
   _xlfn.FLOOR.MATH(value*tblBodyArmor[[#This Row],[sta_cor]]*Sheet1!$A$2 +
              value*tblBodyArmor[[#This Row],[sta_spi]]*Sheet1!$B$2 +
              value*tblBodyArmor[[#This Row],[sta_gra]]*Sheet1!$C$2)
   + tblBodyArmor[[#This Row],[Base_sta]],
   tblBodyArmor[[#This Row],[Base_sta]]))</f>
        <v>4</v>
      </c>
      <c r="V2" s="7">
        <f>IF(tblBodyArmor[[#This Row],[Name]]="","",
tblBodyArmor[[#This Row],[phy]]*Sheet1!$E$2 +
tblBodyArmor[[#This Row],[mag]]*Sheet1!$F$2 +
tblBodyArmor[[#This Row],[sta]]*Sheet1!$G$2)</f>
        <v>13</v>
      </c>
      <c r="W2" s="7">
        <f>IF(tblBodyArmor[[#This Row],[Name]]="","",
_xlfn.RANK.EQ(tblBodyArmor[[#This Row],[Score]], tblBodyArmor[Score], 0))</f>
        <v>8</v>
      </c>
    </row>
    <row r="3" spans="1:23" x14ac:dyDescent="0.3">
      <c r="A3" s="7" t="s">
        <v>143</v>
      </c>
      <c r="B3" s="7" t="s">
        <v>96</v>
      </c>
      <c r="C3" s="7" t="s">
        <v>42</v>
      </c>
      <c r="D3" s="8">
        <v>6</v>
      </c>
      <c r="E3" s="7">
        <v>0</v>
      </c>
      <c r="F3" s="9">
        <v>4</v>
      </c>
      <c r="G3" s="7">
        <v>3</v>
      </c>
      <c r="H3" s="7"/>
      <c r="I3" s="18"/>
      <c r="J3" s="7"/>
      <c r="K3" s="7"/>
      <c r="L3" s="18"/>
      <c r="M3" s="7">
        <v>2</v>
      </c>
      <c r="N3" s="7"/>
      <c r="O3" s="7"/>
      <c r="P3" s="8">
        <v>14</v>
      </c>
      <c r="Q3" s="7"/>
      <c r="R3" s="7"/>
      <c r="S3" s="8">
        <f>IF(tblBodyArmor[[#This Row],[Name]]="","",
IF( AND(
        Sheet1!$A$2 &gt;= tblBodyArmor[[#This Row],[min_cor]],
        Sheet1!$B$2 &gt;= tblBodyArmor[[#This Row],[min_spi]],
        Sheet1!$C$2 &gt;= tblBodyArmor[[#This Row],[min_gra]]
    ),
    _xlfn.FLOOR.MATH(
        value*tblBodyArmor[[#This Row],[phy_cor]]*Sheet1!$A$2 +
        value*tblBodyArmor[[#This Row],[phy_spi]]*Sheet1!$B$2 +
        value*tblBodyArmor[[#This Row],[phy_gra]]*Sheet1!$C$2
    ) + tblBodyArmor[[#This Row],[Base_phy]],
    tblBodyArmor[[#This Row],[Base_phy]]
))</f>
        <v>6</v>
      </c>
      <c r="T3" s="7">
        <f>IF(tblBodyArmor[[#This Row],[Name]]="","",
IF(AND(Sheet1!$A$2&gt;=tblBodyArmor[[#This Row],[min_cor]],
       Sheet1!$B$2&gt;=tblBodyArmor[[#This Row],[min_spi]],
       Sheet1!$C$2&gt;=tblBodyArmor[[#This Row],[min_gra]]),
   _xlfn.FLOOR.MATH(value*tblBodyArmor[[#This Row],[mag_cor]]*Sheet1!$A$2 +
              value*tblBodyArmor[[#This Row],[mag_spi]]*Sheet1!$B$2 +
              value*tblBodyArmor[[#This Row],[mag_gra]]*Sheet1!$C$2)
   + tblBodyArmor[[#This Row],[Base_mag]],
   tblBodyArmor[[#This Row],[Base_mag]]))</f>
        <v>0</v>
      </c>
      <c r="U3" s="9">
        <f>IF(tblBodyArmor[[#This Row],[Name]]="","",
IF(AND(Sheet1!$A$2&gt;=tblBodyArmor[[#This Row],[min_cor]],
       Sheet1!$B$2&gt;=tblBodyArmor[[#This Row],[min_spi]],
       Sheet1!$C$2&gt;=tblBodyArmor[[#This Row],[min_gra]]),
   _xlfn.FLOOR.MATH(value*tblBodyArmor[[#This Row],[sta_cor]]*Sheet1!$A$2 +
              value*tblBodyArmor[[#This Row],[sta_spi]]*Sheet1!$B$2 +
              value*tblBodyArmor[[#This Row],[sta_gra]]*Sheet1!$C$2)
   + tblBodyArmor[[#This Row],[Base_sta]],
   tblBodyArmor[[#This Row],[Base_sta]]))</f>
        <v>4</v>
      </c>
      <c r="V3" s="7">
        <f>IF(tblBodyArmor[[#This Row],[Name]]="","",
tblBodyArmor[[#This Row],[phy]]*Sheet1!$E$2 +
tblBodyArmor[[#This Row],[mag]]*Sheet1!$F$2 +
tblBodyArmor[[#This Row],[sta]]*Sheet1!$G$2)</f>
        <v>10</v>
      </c>
      <c r="W3" s="25">
        <f>IF(tblBodyArmor[[#This Row],[Name]]="","",
_xlfn.RANK.EQ(tblBodyArmor[[#This Row],[Score]], tblBodyArmor[Score], 0))</f>
        <v>13</v>
      </c>
    </row>
    <row r="4" spans="1:23" x14ac:dyDescent="0.3">
      <c r="A4" s="7" t="s">
        <v>144</v>
      </c>
      <c r="B4" s="7" t="s">
        <v>31</v>
      </c>
      <c r="C4" s="7" t="s">
        <v>38</v>
      </c>
      <c r="D4" s="8">
        <v>5</v>
      </c>
      <c r="E4" s="7">
        <v>2</v>
      </c>
      <c r="F4" s="9">
        <v>3</v>
      </c>
      <c r="G4" s="7">
        <v>2</v>
      </c>
      <c r="H4" s="7"/>
      <c r="I4" s="18">
        <v>2</v>
      </c>
      <c r="J4" s="7">
        <v>1</v>
      </c>
      <c r="K4" s="7"/>
      <c r="L4" s="18"/>
      <c r="M4" s="7">
        <v>1</v>
      </c>
      <c r="N4" s="7"/>
      <c r="O4" s="7">
        <v>2</v>
      </c>
      <c r="P4" s="8">
        <v>15</v>
      </c>
      <c r="Q4" s="7"/>
      <c r="R4" s="7"/>
      <c r="S4" s="8">
        <f>IF(tblBodyArmor[[#This Row],[Name]]="","",
IF( AND(
        Sheet1!$A$2 &gt;= tblBodyArmor[[#This Row],[min_cor]],
        Sheet1!$B$2 &gt;= tblBodyArmor[[#This Row],[min_spi]],
        Sheet1!$C$2 &gt;= tblBodyArmor[[#This Row],[min_gra]]
    ),
    _xlfn.FLOOR.MATH(
        value*tblBodyArmor[[#This Row],[phy_cor]]*Sheet1!$A$2 +
        value*tblBodyArmor[[#This Row],[phy_spi]]*Sheet1!$B$2 +
        value*tblBodyArmor[[#This Row],[phy_gra]]*Sheet1!$C$2
    ) + tblBodyArmor[[#This Row],[Base_phy]],
    tblBodyArmor[[#This Row],[Base_phy]]
))</f>
        <v>5</v>
      </c>
      <c r="T4" s="7">
        <f>IF(tblBodyArmor[[#This Row],[Name]]="","",
IF(AND(Sheet1!$A$2&gt;=tblBodyArmor[[#This Row],[min_cor]],
       Sheet1!$B$2&gt;=tblBodyArmor[[#This Row],[min_spi]],
       Sheet1!$C$2&gt;=tblBodyArmor[[#This Row],[min_gra]]),
   _xlfn.FLOOR.MATH(value*tblBodyArmor[[#This Row],[mag_cor]]*Sheet1!$A$2 +
              value*tblBodyArmor[[#This Row],[mag_spi]]*Sheet1!$B$2 +
              value*tblBodyArmor[[#This Row],[mag_gra]]*Sheet1!$C$2)
   + tblBodyArmor[[#This Row],[Base_mag]],
   tblBodyArmor[[#This Row],[Base_mag]]))</f>
        <v>2</v>
      </c>
      <c r="U4" s="9">
        <f>IF(tblBodyArmor[[#This Row],[Name]]="","",
IF(AND(Sheet1!$A$2&gt;=tblBodyArmor[[#This Row],[min_cor]],
       Sheet1!$B$2&gt;=tblBodyArmor[[#This Row],[min_spi]],
       Sheet1!$C$2&gt;=tblBodyArmor[[#This Row],[min_gra]]),
   _xlfn.FLOOR.MATH(value*tblBodyArmor[[#This Row],[sta_cor]]*Sheet1!$A$2 +
              value*tblBodyArmor[[#This Row],[sta_spi]]*Sheet1!$B$2 +
              value*tblBodyArmor[[#This Row],[sta_gra]]*Sheet1!$C$2)
   + tblBodyArmor[[#This Row],[Base_sta]],
   tblBodyArmor[[#This Row],[Base_sta]]))</f>
        <v>3</v>
      </c>
      <c r="V4" s="7">
        <f>IF(tblBodyArmor[[#This Row],[Name]]="","",
tblBodyArmor[[#This Row],[phy]]*Sheet1!$E$2 +
tblBodyArmor[[#This Row],[mag]]*Sheet1!$F$2 +
tblBodyArmor[[#This Row],[sta]]*Sheet1!$G$2)</f>
        <v>10</v>
      </c>
      <c r="W4" s="25">
        <f>IF(tblBodyArmor[[#This Row],[Name]]="","",
_xlfn.RANK.EQ(tblBodyArmor[[#This Row],[Score]], tblBodyArmor[Score], 0))</f>
        <v>13</v>
      </c>
    </row>
    <row r="5" spans="1:23" x14ac:dyDescent="0.3">
      <c r="A5" s="7" t="s">
        <v>139</v>
      </c>
      <c r="B5" s="7" t="s">
        <v>32</v>
      </c>
      <c r="C5" s="7" t="s">
        <v>38</v>
      </c>
      <c r="D5" s="8">
        <v>4</v>
      </c>
      <c r="E5" s="7">
        <v>0</v>
      </c>
      <c r="F5" s="9">
        <v>3</v>
      </c>
      <c r="G5" s="7">
        <v>2</v>
      </c>
      <c r="H5" s="7"/>
      <c r="I5" s="18"/>
      <c r="J5" s="7"/>
      <c r="K5" s="7"/>
      <c r="L5" s="18"/>
      <c r="M5" s="7">
        <v>2</v>
      </c>
      <c r="N5" s="7"/>
      <c r="O5" s="7"/>
      <c r="P5" s="8">
        <v>12</v>
      </c>
      <c r="Q5" s="7"/>
      <c r="R5" s="7"/>
      <c r="S5" s="8">
        <f>IF(tblBodyArmor[[#This Row],[Name]]="","",
IF( AND(
        Sheet1!$A$2 &gt;= tblBodyArmor[[#This Row],[min_cor]],
        Sheet1!$B$2 &gt;= tblBodyArmor[[#This Row],[min_spi]],
        Sheet1!$C$2 &gt;= tblBodyArmor[[#This Row],[min_gra]]
    ),
    _xlfn.FLOOR.MATH(
        value*tblBodyArmor[[#This Row],[phy_cor]]*Sheet1!$A$2 +
        value*tblBodyArmor[[#This Row],[phy_spi]]*Sheet1!$B$2 +
        value*tblBodyArmor[[#This Row],[phy_gra]]*Sheet1!$C$2
    ) + tblBodyArmor[[#This Row],[Base_phy]],
    tblBodyArmor[[#This Row],[Base_phy]]
))</f>
        <v>4</v>
      </c>
      <c r="T5" s="7">
        <f>IF(tblBodyArmor[[#This Row],[Name]]="","",
IF(AND(Sheet1!$A$2&gt;=tblBodyArmor[[#This Row],[min_cor]],
       Sheet1!$B$2&gt;=tblBodyArmor[[#This Row],[min_spi]],
       Sheet1!$C$2&gt;=tblBodyArmor[[#This Row],[min_gra]]),
   _xlfn.FLOOR.MATH(value*tblBodyArmor[[#This Row],[mag_cor]]*Sheet1!$A$2 +
              value*tblBodyArmor[[#This Row],[mag_spi]]*Sheet1!$B$2 +
              value*tblBodyArmor[[#This Row],[mag_gra]]*Sheet1!$C$2)
   + tblBodyArmor[[#This Row],[Base_mag]],
   tblBodyArmor[[#This Row],[Base_mag]]))</f>
        <v>0</v>
      </c>
      <c r="U5" s="9">
        <f>IF(tblBodyArmor[[#This Row],[Name]]="","",
IF(AND(Sheet1!$A$2&gt;=tblBodyArmor[[#This Row],[min_cor]],
       Sheet1!$B$2&gt;=tblBodyArmor[[#This Row],[min_spi]],
       Sheet1!$C$2&gt;=tblBodyArmor[[#This Row],[min_gra]]),
   _xlfn.FLOOR.MATH(value*tblBodyArmor[[#This Row],[sta_cor]]*Sheet1!$A$2 +
              value*tblBodyArmor[[#This Row],[sta_spi]]*Sheet1!$B$2 +
              value*tblBodyArmor[[#This Row],[sta_gra]]*Sheet1!$C$2)
   + tblBodyArmor[[#This Row],[Base_sta]],
   tblBodyArmor[[#This Row],[Base_sta]]))</f>
        <v>3</v>
      </c>
      <c r="V5" s="7">
        <f>IF(tblBodyArmor[[#This Row],[Name]]="","",
tblBodyArmor[[#This Row],[phy]]*Sheet1!$E$2 +
tblBodyArmor[[#This Row],[mag]]*Sheet1!$F$2 +
tblBodyArmor[[#This Row],[sta]]*Sheet1!$G$2)</f>
        <v>7</v>
      </c>
      <c r="W5" s="25">
        <f>IF(tblBodyArmor[[#This Row],[Name]]="","",
_xlfn.RANK.EQ(tblBodyArmor[[#This Row],[Score]], tblBodyArmor[Score], 0))</f>
        <v>19</v>
      </c>
    </row>
    <row r="6" spans="1:23" x14ac:dyDescent="0.3">
      <c r="A6" s="7" t="s">
        <v>150</v>
      </c>
      <c r="B6" s="7" t="s">
        <v>97</v>
      </c>
      <c r="C6" s="7" t="s">
        <v>52</v>
      </c>
      <c r="D6" s="8">
        <v>0</v>
      </c>
      <c r="E6" s="7">
        <v>0</v>
      </c>
      <c r="F6" s="9">
        <v>0</v>
      </c>
      <c r="G6" s="7"/>
      <c r="H6" s="7"/>
      <c r="I6" s="18"/>
      <c r="J6" s="7"/>
      <c r="K6" s="7"/>
      <c r="L6" s="18"/>
      <c r="M6" s="7"/>
      <c r="N6" s="7"/>
      <c r="O6" s="7"/>
      <c r="P6" s="8"/>
      <c r="Q6" s="7"/>
      <c r="R6" s="7"/>
      <c r="S6" s="8">
        <f>IF(tblBodyArmor[[#This Row],[Name]]="","",
IF( AND(
        Sheet1!$A$2 &gt;= tblBodyArmor[[#This Row],[min_cor]],
        Sheet1!$B$2 &gt;= tblBodyArmor[[#This Row],[min_spi]],
        Sheet1!$C$2 &gt;= tblBodyArmor[[#This Row],[min_gra]]
    ),
    _xlfn.FLOOR.MATH(
        value*tblBodyArmor[[#This Row],[phy_cor]]*Sheet1!$A$2 +
        value*tblBodyArmor[[#This Row],[phy_spi]]*Sheet1!$B$2 +
        value*tblBodyArmor[[#This Row],[phy_gra]]*Sheet1!$C$2
    ) + tblBodyArmor[[#This Row],[Base_phy]],
    tblBodyArmor[[#This Row],[Base_phy]]
))</f>
        <v>0</v>
      </c>
      <c r="T6" s="7">
        <f>IF(tblBodyArmor[[#This Row],[Name]]="","",
IF(AND(Sheet1!$A$2&gt;=tblBodyArmor[[#This Row],[min_cor]],
       Sheet1!$B$2&gt;=tblBodyArmor[[#This Row],[min_spi]],
       Sheet1!$C$2&gt;=tblBodyArmor[[#This Row],[min_gra]]),
   _xlfn.FLOOR.MATH(value*tblBodyArmor[[#This Row],[mag_cor]]*Sheet1!$A$2 +
              value*tblBodyArmor[[#This Row],[mag_spi]]*Sheet1!$B$2 +
              value*tblBodyArmor[[#This Row],[mag_gra]]*Sheet1!$C$2)
   + tblBodyArmor[[#This Row],[Base_mag]],
   tblBodyArmor[[#This Row],[Base_mag]]))</f>
        <v>0</v>
      </c>
      <c r="U6" s="9">
        <f>IF(tblBodyArmor[[#This Row],[Name]]="","",
IF(AND(Sheet1!$A$2&gt;=tblBodyArmor[[#This Row],[min_cor]],
       Sheet1!$B$2&gt;=tblBodyArmor[[#This Row],[min_spi]],
       Sheet1!$C$2&gt;=tblBodyArmor[[#This Row],[min_gra]]),
   _xlfn.FLOOR.MATH(value*tblBodyArmor[[#This Row],[sta_cor]]*Sheet1!$A$2 +
              value*tblBodyArmor[[#This Row],[sta_spi]]*Sheet1!$B$2 +
              value*tblBodyArmor[[#This Row],[sta_gra]]*Sheet1!$C$2)
   + tblBodyArmor[[#This Row],[Base_sta]],
   tblBodyArmor[[#This Row],[Base_sta]]))</f>
        <v>0</v>
      </c>
      <c r="V6" s="7">
        <f>IF(tblBodyArmor[[#This Row],[Name]]="","",
tblBodyArmor[[#This Row],[phy]]*Sheet1!$E$2 +
tblBodyArmor[[#This Row],[mag]]*Sheet1!$F$2 +
tblBodyArmor[[#This Row],[sta]]*Sheet1!$G$2)</f>
        <v>0</v>
      </c>
      <c r="W6" s="25">
        <f>IF(tblBodyArmor[[#This Row],[Name]]="","",
_xlfn.RANK.EQ(tblBodyArmor[[#This Row],[Score]], tblBodyArmor[Score], 0))</f>
        <v>20</v>
      </c>
    </row>
    <row r="7" spans="1:23" x14ac:dyDescent="0.3">
      <c r="A7" s="7" t="s">
        <v>137</v>
      </c>
      <c r="B7" s="7" t="s">
        <v>98</v>
      </c>
      <c r="C7" s="7" t="s">
        <v>34</v>
      </c>
      <c r="D7" s="8">
        <v>6</v>
      </c>
      <c r="E7" s="7">
        <v>3</v>
      </c>
      <c r="F7" s="9">
        <v>4</v>
      </c>
      <c r="G7" s="7">
        <v>3</v>
      </c>
      <c r="H7" s="7">
        <v>1</v>
      </c>
      <c r="I7" s="18"/>
      <c r="J7" s="7">
        <v>1</v>
      </c>
      <c r="K7" s="7">
        <v>2</v>
      </c>
      <c r="L7" s="18"/>
      <c r="M7" s="7">
        <v>1</v>
      </c>
      <c r="N7" s="7">
        <v>1</v>
      </c>
      <c r="O7" s="7"/>
      <c r="P7" s="8">
        <v>20</v>
      </c>
      <c r="Q7" s="7"/>
      <c r="R7" s="7"/>
      <c r="S7" s="8">
        <f>IF(tblBodyArmor[[#This Row],[Name]]="","",
IF( AND(
        Sheet1!$A$2 &gt;= tblBodyArmor[[#This Row],[min_cor]],
        Sheet1!$B$2 &gt;= tblBodyArmor[[#This Row],[min_spi]],
        Sheet1!$C$2 &gt;= tblBodyArmor[[#This Row],[min_gra]]
    ),
    _xlfn.FLOOR.MATH(
        value*tblBodyArmor[[#This Row],[phy_cor]]*Sheet1!$A$2 +
        value*tblBodyArmor[[#This Row],[phy_spi]]*Sheet1!$B$2 +
        value*tblBodyArmor[[#This Row],[phy_gra]]*Sheet1!$C$2
    ) + tblBodyArmor[[#This Row],[Base_phy]],
    tblBodyArmor[[#This Row],[Base_phy]]
))</f>
        <v>6</v>
      </c>
      <c r="T7" s="7">
        <f>IF(tblBodyArmor[[#This Row],[Name]]="","",
IF(AND(Sheet1!$A$2&gt;=tblBodyArmor[[#This Row],[min_cor]],
       Sheet1!$B$2&gt;=tblBodyArmor[[#This Row],[min_spi]],
       Sheet1!$C$2&gt;=tblBodyArmor[[#This Row],[min_gra]]),
   _xlfn.FLOOR.MATH(value*tblBodyArmor[[#This Row],[mag_cor]]*Sheet1!$A$2 +
              value*tblBodyArmor[[#This Row],[mag_spi]]*Sheet1!$B$2 +
              value*tblBodyArmor[[#This Row],[mag_gra]]*Sheet1!$C$2)
   + tblBodyArmor[[#This Row],[Base_mag]],
   tblBodyArmor[[#This Row],[Base_mag]]))</f>
        <v>3</v>
      </c>
      <c r="U7" s="9">
        <f>IF(tblBodyArmor[[#This Row],[Name]]="","",
IF(AND(Sheet1!$A$2&gt;=tblBodyArmor[[#This Row],[min_cor]],
       Sheet1!$B$2&gt;=tblBodyArmor[[#This Row],[min_spi]],
       Sheet1!$C$2&gt;=tblBodyArmor[[#This Row],[min_gra]]),
   _xlfn.FLOOR.MATH(value*tblBodyArmor[[#This Row],[sta_cor]]*Sheet1!$A$2 +
              value*tblBodyArmor[[#This Row],[sta_spi]]*Sheet1!$B$2 +
              value*tblBodyArmor[[#This Row],[sta_gra]]*Sheet1!$C$2)
   + tblBodyArmor[[#This Row],[Base_sta]],
   tblBodyArmor[[#This Row],[Base_sta]]))</f>
        <v>4</v>
      </c>
      <c r="V7" s="7">
        <f>IF(tblBodyArmor[[#This Row],[Name]]="","",
tblBodyArmor[[#This Row],[phy]]*Sheet1!$E$2 +
tblBodyArmor[[#This Row],[mag]]*Sheet1!$F$2 +
tblBodyArmor[[#This Row],[sta]]*Sheet1!$G$2)</f>
        <v>13</v>
      </c>
      <c r="W7" s="25">
        <f>IF(tblBodyArmor[[#This Row],[Name]]="","",
_xlfn.RANK.EQ(tblBodyArmor[[#This Row],[Score]], tblBodyArmor[Score], 0))</f>
        <v>8</v>
      </c>
    </row>
    <row r="8" spans="1:23" x14ac:dyDescent="0.3">
      <c r="A8" s="7" t="s">
        <v>142</v>
      </c>
      <c r="B8" s="7" t="s">
        <v>94</v>
      </c>
      <c r="C8" s="7" t="s">
        <v>36</v>
      </c>
      <c r="D8" s="8">
        <v>4</v>
      </c>
      <c r="E8" s="7">
        <v>4</v>
      </c>
      <c r="F8" s="9">
        <v>4</v>
      </c>
      <c r="G8" s="7"/>
      <c r="H8" s="7">
        <v>2</v>
      </c>
      <c r="I8" s="18">
        <v>1</v>
      </c>
      <c r="J8" s="7"/>
      <c r="K8" s="7">
        <v>2</v>
      </c>
      <c r="L8" s="18">
        <v>1</v>
      </c>
      <c r="M8" s="7"/>
      <c r="N8" s="7">
        <v>1</v>
      </c>
      <c r="O8" s="7">
        <v>2</v>
      </c>
      <c r="P8" s="8"/>
      <c r="Q8" s="7"/>
      <c r="R8" s="7">
        <v>20</v>
      </c>
      <c r="S8" s="8">
        <f>IF(tblBodyArmor[[#This Row],[Name]]="","",
IF( AND(
        Sheet1!$A$2 &gt;= tblBodyArmor[[#This Row],[min_cor]],
        Sheet1!$B$2 &gt;= tblBodyArmor[[#This Row],[min_spi]],
        Sheet1!$C$2 &gt;= tblBodyArmor[[#This Row],[min_gra]]
    ),
    _xlfn.FLOOR.MATH(
        value*tblBodyArmor[[#This Row],[phy_cor]]*Sheet1!$A$2 +
        value*tblBodyArmor[[#This Row],[phy_spi]]*Sheet1!$B$2 +
        value*tblBodyArmor[[#This Row],[phy_gra]]*Sheet1!$C$2
    ) + tblBodyArmor[[#This Row],[Base_phy]],
    tblBodyArmor[[#This Row],[Base_phy]]
))</f>
        <v>10</v>
      </c>
      <c r="T8" s="7">
        <f>IF(tblBodyArmor[[#This Row],[Name]]="","",
IF(AND(Sheet1!$A$2&gt;=tblBodyArmor[[#This Row],[min_cor]],
       Sheet1!$B$2&gt;=tblBodyArmor[[#This Row],[min_spi]],
       Sheet1!$C$2&gt;=tblBodyArmor[[#This Row],[min_gra]]),
   _xlfn.FLOOR.MATH(value*tblBodyArmor[[#This Row],[mag_cor]]*Sheet1!$A$2 +
              value*tblBodyArmor[[#This Row],[mag_spi]]*Sheet1!$B$2 +
              value*tblBodyArmor[[#This Row],[mag_gra]]*Sheet1!$C$2)
   + tblBodyArmor[[#This Row],[Base_mag]],
   tblBodyArmor[[#This Row],[Base_mag]]))</f>
        <v>10</v>
      </c>
      <c r="U8" s="9">
        <f>IF(tblBodyArmor[[#This Row],[Name]]="","",
IF(AND(Sheet1!$A$2&gt;=tblBodyArmor[[#This Row],[min_cor]],
       Sheet1!$B$2&gt;=tblBodyArmor[[#This Row],[min_spi]],
       Sheet1!$C$2&gt;=tblBodyArmor[[#This Row],[min_gra]]),
   _xlfn.FLOOR.MATH(value*tblBodyArmor[[#This Row],[sta_cor]]*Sheet1!$A$2 +
              value*tblBodyArmor[[#This Row],[sta_spi]]*Sheet1!$B$2 +
              value*tblBodyArmor[[#This Row],[sta_gra]]*Sheet1!$C$2)
   + tblBodyArmor[[#This Row],[Base_sta]],
   tblBodyArmor[[#This Row],[Base_sta]]))</f>
        <v>13</v>
      </c>
      <c r="V8" s="7">
        <f>IF(tblBodyArmor[[#This Row],[Name]]="","",
tblBodyArmor[[#This Row],[phy]]*Sheet1!$E$2 +
tblBodyArmor[[#This Row],[mag]]*Sheet1!$F$2 +
tblBodyArmor[[#This Row],[sta]]*Sheet1!$G$2)</f>
        <v>33</v>
      </c>
      <c r="W8" s="25">
        <f>IF(tblBodyArmor[[#This Row],[Name]]="","",
_xlfn.RANK.EQ(tblBodyArmor[[#This Row],[Score]], tblBodyArmor[Score], 0))</f>
        <v>2</v>
      </c>
    </row>
    <row r="9" spans="1:23" x14ac:dyDescent="0.3">
      <c r="A9" s="7" t="s">
        <v>141</v>
      </c>
      <c r="B9" s="7" t="s">
        <v>99</v>
      </c>
      <c r="C9" s="7" t="s">
        <v>38</v>
      </c>
      <c r="D9" s="8">
        <v>5</v>
      </c>
      <c r="E9" s="7">
        <v>3</v>
      </c>
      <c r="F9" s="9">
        <v>4</v>
      </c>
      <c r="G9" s="7">
        <v>1</v>
      </c>
      <c r="H9" s="7"/>
      <c r="I9" s="18">
        <v>3</v>
      </c>
      <c r="J9" s="7">
        <v>1</v>
      </c>
      <c r="K9" s="7"/>
      <c r="L9" s="18">
        <v>1</v>
      </c>
      <c r="M9" s="7">
        <v>0</v>
      </c>
      <c r="N9" s="7"/>
      <c r="O9" s="7">
        <v>3</v>
      </c>
      <c r="P9" s="8"/>
      <c r="Q9" s="7"/>
      <c r="R9" s="7">
        <v>20</v>
      </c>
      <c r="S9" s="8">
        <f>IF(tblBodyArmor[[#This Row],[Name]]="","",
IF( AND(
        Sheet1!$A$2 &gt;= tblBodyArmor[[#This Row],[min_cor]],
        Sheet1!$B$2 &gt;= tblBodyArmor[[#This Row],[min_spi]],
        Sheet1!$C$2 &gt;= tblBodyArmor[[#This Row],[min_gra]]
    ),
    _xlfn.FLOOR.MATH(
        value*tblBodyArmor[[#This Row],[phy_cor]]*Sheet1!$A$2 +
        value*tblBodyArmor[[#This Row],[phy_spi]]*Sheet1!$B$2 +
        value*tblBodyArmor[[#This Row],[phy_gra]]*Sheet1!$C$2
    ) + tblBodyArmor[[#This Row],[Base_phy]],
    tblBodyArmor[[#This Row],[Base_phy]]
))</f>
        <v>19</v>
      </c>
      <c r="T9" s="7">
        <f>IF(tblBodyArmor[[#This Row],[Name]]="","",
IF(AND(Sheet1!$A$2&gt;=tblBodyArmor[[#This Row],[min_cor]],
       Sheet1!$B$2&gt;=tblBodyArmor[[#This Row],[min_spi]],
       Sheet1!$C$2&gt;=tblBodyArmor[[#This Row],[min_gra]]),
   _xlfn.FLOOR.MATH(value*tblBodyArmor[[#This Row],[mag_cor]]*Sheet1!$A$2 +
              value*tblBodyArmor[[#This Row],[mag_spi]]*Sheet1!$B$2 +
              value*tblBodyArmor[[#This Row],[mag_gra]]*Sheet1!$C$2)
   + tblBodyArmor[[#This Row],[Base_mag]],
   tblBodyArmor[[#This Row],[Base_mag]]))</f>
        <v>8</v>
      </c>
      <c r="U9" s="9">
        <f>IF(tblBodyArmor[[#This Row],[Name]]="","",
IF(AND(Sheet1!$A$2&gt;=tblBodyArmor[[#This Row],[min_cor]],
       Sheet1!$B$2&gt;=tblBodyArmor[[#This Row],[min_spi]],
       Sheet1!$C$2&gt;=tblBodyArmor[[#This Row],[min_gra]]),
   _xlfn.FLOOR.MATH(value*tblBodyArmor[[#This Row],[sta_cor]]*Sheet1!$A$2 +
              value*tblBodyArmor[[#This Row],[sta_spi]]*Sheet1!$B$2 +
              value*tblBodyArmor[[#This Row],[sta_gra]]*Sheet1!$C$2)
   + tblBodyArmor[[#This Row],[Base_sta]],
   tblBodyArmor[[#This Row],[Base_sta]]))</f>
        <v>17</v>
      </c>
      <c r="V9" s="7">
        <f>IF(tblBodyArmor[[#This Row],[Name]]="","",
tblBodyArmor[[#This Row],[phy]]*Sheet1!$E$2 +
tblBodyArmor[[#This Row],[mag]]*Sheet1!$F$2 +
tblBodyArmor[[#This Row],[sta]]*Sheet1!$G$2)</f>
        <v>44</v>
      </c>
      <c r="W9" s="25">
        <f>IF(tblBodyArmor[[#This Row],[Name]]="","",
_xlfn.RANK.EQ(tblBodyArmor[[#This Row],[Score]], tblBodyArmor[Score], 0))</f>
        <v>1</v>
      </c>
    </row>
    <row r="10" spans="1:23" x14ac:dyDescent="0.3">
      <c r="A10" s="7" t="s">
        <v>152</v>
      </c>
      <c r="B10" s="7" t="s">
        <v>100</v>
      </c>
      <c r="C10" s="7" t="s">
        <v>55</v>
      </c>
      <c r="D10" s="8">
        <v>3</v>
      </c>
      <c r="E10" s="7">
        <v>5</v>
      </c>
      <c r="F10" s="9">
        <v>0</v>
      </c>
      <c r="G10" s="7"/>
      <c r="H10" s="7">
        <v>1</v>
      </c>
      <c r="I10" s="18"/>
      <c r="J10" s="7"/>
      <c r="K10" s="7">
        <v>1</v>
      </c>
      <c r="L10" s="18"/>
      <c r="M10" s="7"/>
      <c r="N10" s="7"/>
      <c r="O10" s="7"/>
      <c r="P10" s="8"/>
      <c r="Q10" s="7"/>
      <c r="R10" s="7"/>
      <c r="S10" s="8">
        <f>IF(tblBodyArmor[[#This Row],[Name]]="","",
IF( AND(
        Sheet1!$A$2 &gt;= tblBodyArmor[[#This Row],[min_cor]],
        Sheet1!$B$2 &gt;= tblBodyArmor[[#This Row],[min_spi]],
        Sheet1!$C$2 &gt;= tblBodyArmor[[#This Row],[min_gra]]
    ),
    _xlfn.FLOOR.MATH(
        value*tblBodyArmor[[#This Row],[phy_cor]]*Sheet1!$A$2 +
        value*tblBodyArmor[[#This Row],[phy_spi]]*Sheet1!$B$2 +
        value*tblBodyArmor[[#This Row],[phy_gra]]*Sheet1!$C$2
    ) + tblBodyArmor[[#This Row],[Base_phy]],
    tblBodyArmor[[#This Row],[Base_phy]]
))</f>
        <v>3</v>
      </c>
      <c r="T10" s="7">
        <f>IF(tblBodyArmor[[#This Row],[Name]]="","",
IF(AND(Sheet1!$A$2&gt;=tblBodyArmor[[#This Row],[min_cor]],
       Sheet1!$B$2&gt;=tblBodyArmor[[#This Row],[min_spi]],
       Sheet1!$C$2&gt;=tblBodyArmor[[#This Row],[min_gra]]),
   _xlfn.FLOOR.MATH(value*tblBodyArmor[[#This Row],[mag_cor]]*Sheet1!$A$2 +
              value*tblBodyArmor[[#This Row],[mag_spi]]*Sheet1!$B$2 +
              value*tblBodyArmor[[#This Row],[mag_gra]]*Sheet1!$C$2)
   + tblBodyArmor[[#This Row],[Base_mag]],
   tblBodyArmor[[#This Row],[Base_mag]]))</f>
        <v>5</v>
      </c>
      <c r="U10" s="9">
        <f>IF(tblBodyArmor[[#This Row],[Name]]="","",
IF(AND(Sheet1!$A$2&gt;=tblBodyArmor[[#This Row],[min_cor]],
       Sheet1!$B$2&gt;=tblBodyArmor[[#This Row],[min_spi]],
       Sheet1!$C$2&gt;=tblBodyArmor[[#This Row],[min_gra]]),
   _xlfn.FLOOR.MATH(value*tblBodyArmor[[#This Row],[sta_cor]]*Sheet1!$A$2 +
              value*tblBodyArmor[[#This Row],[sta_spi]]*Sheet1!$B$2 +
              value*tblBodyArmor[[#This Row],[sta_gra]]*Sheet1!$C$2)
   + tblBodyArmor[[#This Row],[Base_sta]],
   tblBodyArmor[[#This Row],[Base_sta]]))</f>
        <v>0</v>
      </c>
      <c r="V10" s="7">
        <f>IF(tblBodyArmor[[#This Row],[Name]]="","",
tblBodyArmor[[#This Row],[phy]]*Sheet1!$E$2 +
tblBodyArmor[[#This Row],[mag]]*Sheet1!$F$2 +
tblBodyArmor[[#This Row],[sta]]*Sheet1!$G$2)</f>
        <v>8</v>
      </c>
      <c r="W10" s="25">
        <f>IF(tblBodyArmor[[#This Row],[Name]]="","",
_xlfn.RANK.EQ(tblBodyArmor[[#This Row],[Score]], tblBodyArmor[Score], 0))</f>
        <v>17</v>
      </c>
    </row>
    <row r="11" spans="1:23" x14ac:dyDescent="0.3">
      <c r="A11" s="7" t="s">
        <v>135</v>
      </c>
      <c r="B11" s="7" t="s">
        <v>101</v>
      </c>
      <c r="C11" s="7" t="s">
        <v>45</v>
      </c>
      <c r="D11" s="8">
        <v>3</v>
      </c>
      <c r="E11" s="7">
        <v>3</v>
      </c>
      <c r="F11" s="9">
        <v>3</v>
      </c>
      <c r="G11" s="7"/>
      <c r="H11" s="7">
        <v>1</v>
      </c>
      <c r="I11" s="18">
        <v>2</v>
      </c>
      <c r="J11" s="7"/>
      <c r="K11" s="7">
        <v>2</v>
      </c>
      <c r="L11" s="18">
        <v>1</v>
      </c>
      <c r="M11" s="7"/>
      <c r="N11" s="7">
        <v>1</v>
      </c>
      <c r="O11" s="7">
        <v>2</v>
      </c>
      <c r="P11" s="8"/>
      <c r="Q11" s="7"/>
      <c r="R11" s="7">
        <v>15</v>
      </c>
      <c r="S11" s="8">
        <f>IF(tblBodyArmor[[#This Row],[Name]]="","",
IF( AND(
        Sheet1!$A$2 &gt;= tblBodyArmor[[#This Row],[min_cor]],
        Sheet1!$B$2 &gt;= tblBodyArmor[[#This Row],[min_spi]],
        Sheet1!$C$2 &gt;= tblBodyArmor[[#This Row],[min_gra]]
    ),
    _xlfn.FLOOR.MATH(
        value*tblBodyArmor[[#This Row],[phy_cor]]*Sheet1!$A$2 +
        value*tblBodyArmor[[#This Row],[phy_spi]]*Sheet1!$B$2 +
        value*tblBodyArmor[[#This Row],[phy_gra]]*Sheet1!$C$2
    ) + tblBodyArmor[[#This Row],[Base_phy]],
    tblBodyArmor[[#This Row],[Base_phy]]
))</f>
        <v>12</v>
      </c>
      <c r="T11" s="7">
        <f>IF(tblBodyArmor[[#This Row],[Name]]="","",
IF(AND(Sheet1!$A$2&gt;=tblBodyArmor[[#This Row],[min_cor]],
       Sheet1!$B$2&gt;=tblBodyArmor[[#This Row],[min_spi]],
       Sheet1!$C$2&gt;=tblBodyArmor[[#This Row],[min_gra]]),
   _xlfn.FLOOR.MATH(value*tblBodyArmor[[#This Row],[mag_cor]]*Sheet1!$A$2 +
              value*tblBodyArmor[[#This Row],[mag_spi]]*Sheet1!$B$2 +
              value*tblBodyArmor[[#This Row],[mag_gra]]*Sheet1!$C$2)
   + tblBodyArmor[[#This Row],[Base_mag]],
   tblBodyArmor[[#This Row],[Base_mag]]))</f>
        <v>9</v>
      </c>
      <c r="U11" s="9">
        <f>IF(tblBodyArmor[[#This Row],[Name]]="","",
IF(AND(Sheet1!$A$2&gt;=tblBodyArmor[[#This Row],[min_cor]],
       Sheet1!$B$2&gt;=tblBodyArmor[[#This Row],[min_spi]],
       Sheet1!$C$2&gt;=tblBodyArmor[[#This Row],[min_gra]]),
   _xlfn.FLOOR.MATH(value*tblBodyArmor[[#This Row],[sta_cor]]*Sheet1!$A$2 +
              value*tblBodyArmor[[#This Row],[sta_spi]]*Sheet1!$B$2 +
              value*tblBodyArmor[[#This Row],[sta_gra]]*Sheet1!$C$2)
   + tblBodyArmor[[#This Row],[Base_sta]],
   tblBodyArmor[[#This Row],[Base_sta]]))</f>
        <v>12</v>
      </c>
      <c r="V11" s="7">
        <f>IF(tblBodyArmor[[#This Row],[Name]]="","",
tblBodyArmor[[#This Row],[phy]]*Sheet1!$E$2 +
tblBodyArmor[[#This Row],[mag]]*Sheet1!$F$2 +
tblBodyArmor[[#This Row],[sta]]*Sheet1!$G$2)</f>
        <v>33</v>
      </c>
      <c r="W11" s="25">
        <f>IF(tblBodyArmor[[#This Row],[Name]]="","",
_xlfn.RANK.EQ(tblBodyArmor[[#This Row],[Score]], tblBodyArmor[Score], 0))</f>
        <v>2</v>
      </c>
    </row>
    <row r="12" spans="1:23" x14ac:dyDescent="0.3">
      <c r="A12" s="7" t="s">
        <v>138</v>
      </c>
      <c r="B12" s="7" t="s">
        <v>102</v>
      </c>
      <c r="C12" s="7" t="s">
        <v>38</v>
      </c>
      <c r="D12" s="8">
        <v>6</v>
      </c>
      <c r="E12" s="7">
        <v>3</v>
      </c>
      <c r="F12" s="9">
        <v>2</v>
      </c>
      <c r="G12" s="7">
        <v>2</v>
      </c>
      <c r="H12" s="7">
        <v>2</v>
      </c>
      <c r="I12" s="18"/>
      <c r="J12" s="7">
        <v>1</v>
      </c>
      <c r="K12" s="7">
        <v>2</v>
      </c>
      <c r="L12" s="18"/>
      <c r="M12" s="7">
        <v>2</v>
      </c>
      <c r="N12" s="7"/>
      <c r="O12" s="7"/>
      <c r="P12" s="8">
        <v>15</v>
      </c>
      <c r="Q12" s="7"/>
      <c r="R12" s="7"/>
      <c r="S12" s="8">
        <f>IF(tblBodyArmor[[#This Row],[Name]]="","",
IF( AND(
        Sheet1!$A$2 &gt;= tblBodyArmor[[#This Row],[min_cor]],
        Sheet1!$B$2 &gt;= tblBodyArmor[[#This Row],[min_spi]],
        Sheet1!$C$2 &gt;= tblBodyArmor[[#This Row],[min_gra]]
    ),
    _xlfn.FLOOR.MATH(
        value*tblBodyArmor[[#This Row],[phy_cor]]*Sheet1!$A$2 +
        value*tblBodyArmor[[#This Row],[phy_spi]]*Sheet1!$B$2 +
        value*tblBodyArmor[[#This Row],[phy_gra]]*Sheet1!$C$2
    ) + tblBodyArmor[[#This Row],[Base_phy]],
    tblBodyArmor[[#This Row],[Base_phy]]
))</f>
        <v>6</v>
      </c>
      <c r="T12" s="7">
        <f>IF(tblBodyArmor[[#This Row],[Name]]="","",
IF(AND(Sheet1!$A$2&gt;=tblBodyArmor[[#This Row],[min_cor]],
       Sheet1!$B$2&gt;=tblBodyArmor[[#This Row],[min_spi]],
       Sheet1!$C$2&gt;=tblBodyArmor[[#This Row],[min_gra]]),
   _xlfn.FLOOR.MATH(value*tblBodyArmor[[#This Row],[mag_cor]]*Sheet1!$A$2 +
              value*tblBodyArmor[[#This Row],[mag_spi]]*Sheet1!$B$2 +
              value*tblBodyArmor[[#This Row],[mag_gra]]*Sheet1!$C$2)
   + tblBodyArmor[[#This Row],[Base_mag]],
   tblBodyArmor[[#This Row],[Base_mag]]))</f>
        <v>3</v>
      </c>
      <c r="U12" s="9">
        <f>IF(tblBodyArmor[[#This Row],[Name]]="","",
IF(AND(Sheet1!$A$2&gt;=tblBodyArmor[[#This Row],[min_cor]],
       Sheet1!$B$2&gt;=tblBodyArmor[[#This Row],[min_spi]],
       Sheet1!$C$2&gt;=tblBodyArmor[[#This Row],[min_gra]]),
   _xlfn.FLOOR.MATH(value*tblBodyArmor[[#This Row],[sta_cor]]*Sheet1!$A$2 +
              value*tblBodyArmor[[#This Row],[sta_spi]]*Sheet1!$B$2 +
              value*tblBodyArmor[[#This Row],[sta_gra]]*Sheet1!$C$2)
   + tblBodyArmor[[#This Row],[Base_sta]],
   tblBodyArmor[[#This Row],[Base_sta]]))</f>
        <v>2</v>
      </c>
      <c r="V12" s="7">
        <f>IF(tblBodyArmor[[#This Row],[Name]]="","",
tblBodyArmor[[#This Row],[phy]]*Sheet1!$E$2 +
tblBodyArmor[[#This Row],[mag]]*Sheet1!$F$2 +
tblBodyArmor[[#This Row],[sta]]*Sheet1!$G$2)</f>
        <v>11</v>
      </c>
      <c r="W12" s="25">
        <f>IF(tblBodyArmor[[#This Row],[Name]]="","",
_xlfn.RANK.EQ(tblBodyArmor[[#This Row],[Score]], tblBodyArmor[Score], 0))</f>
        <v>11</v>
      </c>
    </row>
    <row r="13" spans="1:23" x14ac:dyDescent="0.3">
      <c r="A13" s="7" t="s">
        <v>148</v>
      </c>
      <c r="B13" s="7" t="s">
        <v>103</v>
      </c>
      <c r="C13" s="7" t="s">
        <v>56</v>
      </c>
      <c r="D13" s="8">
        <v>4</v>
      </c>
      <c r="E13" s="7">
        <v>0</v>
      </c>
      <c r="F13" s="9">
        <v>4</v>
      </c>
      <c r="G13" s="7"/>
      <c r="H13" s="7"/>
      <c r="I13" s="18">
        <v>1</v>
      </c>
      <c r="J13" s="7"/>
      <c r="K13" s="7"/>
      <c r="L13" s="18"/>
      <c r="M13" s="7"/>
      <c r="N13" s="7"/>
      <c r="O13" s="7">
        <v>1</v>
      </c>
      <c r="P13" s="8"/>
      <c r="Q13" s="7"/>
      <c r="R13" s="7"/>
      <c r="S13" s="8">
        <f>IF(tblBodyArmor[[#This Row],[Name]]="","",
IF( AND(
        Sheet1!$A$2 &gt;= tblBodyArmor[[#This Row],[min_cor]],
        Sheet1!$B$2 &gt;= tblBodyArmor[[#This Row],[min_spi]],
        Sheet1!$C$2 &gt;= tblBodyArmor[[#This Row],[min_gra]]
    ),
    _xlfn.FLOOR.MATH(
        value*tblBodyArmor[[#This Row],[phy_cor]]*Sheet1!$A$2 +
        value*tblBodyArmor[[#This Row],[phy_spi]]*Sheet1!$B$2 +
        value*tblBodyArmor[[#This Row],[phy_gra]]*Sheet1!$C$2
    ) + tblBodyArmor[[#This Row],[Base_phy]],
    tblBodyArmor[[#This Row],[Base_phy]]
))</f>
        <v>8</v>
      </c>
      <c r="T13" s="7">
        <f>IF(tblBodyArmor[[#This Row],[Name]]="","",
IF(AND(Sheet1!$A$2&gt;=tblBodyArmor[[#This Row],[min_cor]],
       Sheet1!$B$2&gt;=tblBodyArmor[[#This Row],[min_spi]],
       Sheet1!$C$2&gt;=tblBodyArmor[[#This Row],[min_gra]]),
   _xlfn.FLOOR.MATH(value*tblBodyArmor[[#This Row],[mag_cor]]*Sheet1!$A$2 +
              value*tblBodyArmor[[#This Row],[mag_spi]]*Sheet1!$B$2 +
              value*tblBodyArmor[[#This Row],[mag_gra]]*Sheet1!$C$2)
   + tblBodyArmor[[#This Row],[Base_mag]],
   tblBodyArmor[[#This Row],[Base_mag]]))</f>
        <v>0</v>
      </c>
      <c r="U13" s="9">
        <f>IF(tblBodyArmor[[#This Row],[Name]]="","",
IF(AND(Sheet1!$A$2&gt;=tblBodyArmor[[#This Row],[min_cor]],
       Sheet1!$B$2&gt;=tblBodyArmor[[#This Row],[min_spi]],
       Sheet1!$C$2&gt;=tblBodyArmor[[#This Row],[min_gra]]),
   _xlfn.FLOOR.MATH(value*tblBodyArmor[[#This Row],[sta_cor]]*Sheet1!$A$2 +
              value*tblBodyArmor[[#This Row],[sta_spi]]*Sheet1!$B$2 +
              value*tblBodyArmor[[#This Row],[sta_gra]]*Sheet1!$C$2)
   + tblBodyArmor[[#This Row],[Base_sta]],
   tblBodyArmor[[#This Row],[Base_sta]]))</f>
        <v>8</v>
      </c>
      <c r="V13" s="7">
        <f>IF(tblBodyArmor[[#This Row],[Name]]="","",
tblBodyArmor[[#This Row],[phy]]*Sheet1!$E$2 +
tblBodyArmor[[#This Row],[mag]]*Sheet1!$F$2 +
tblBodyArmor[[#This Row],[sta]]*Sheet1!$G$2)</f>
        <v>16</v>
      </c>
      <c r="W13" s="25">
        <f>IF(tblBodyArmor[[#This Row],[Name]]="","",
_xlfn.RANK.EQ(tblBodyArmor[[#This Row],[Score]], tblBodyArmor[Score], 0))</f>
        <v>7</v>
      </c>
    </row>
    <row r="14" spans="1:23" x14ac:dyDescent="0.3">
      <c r="A14" s="7" t="s">
        <v>149</v>
      </c>
      <c r="B14" s="7" t="s">
        <v>104</v>
      </c>
      <c r="C14" s="7" t="s">
        <v>58</v>
      </c>
      <c r="D14" s="8">
        <v>3</v>
      </c>
      <c r="E14" s="7">
        <v>5</v>
      </c>
      <c r="F14" s="9">
        <v>3</v>
      </c>
      <c r="G14" s="7"/>
      <c r="H14" s="7">
        <v>2</v>
      </c>
      <c r="I14" s="18"/>
      <c r="J14" s="7"/>
      <c r="K14" s="7">
        <v>2</v>
      </c>
      <c r="L14" s="18"/>
      <c r="M14" s="7"/>
      <c r="N14" s="7">
        <v>2</v>
      </c>
      <c r="O14" s="7"/>
      <c r="P14" s="8"/>
      <c r="Q14" s="7">
        <v>14</v>
      </c>
      <c r="R14" s="7"/>
      <c r="S14" s="8">
        <f>IF(tblBodyArmor[[#This Row],[Name]]="","",
IF( AND(
        Sheet1!$A$2 &gt;= tblBodyArmor[[#This Row],[min_cor]],
        Sheet1!$B$2 &gt;= tblBodyArmor[[#This Row],[min_spi]],
        Sheet1!$C$2 &gt;= tblBodyArmor[[#This Row],[min_gra]]
    ),
    _xlfn.FLOOR.MATH(
        value*tblBodyArmor[[#This Row],[phy_cor]]*Sheet1!$A$2 +
        value*tblBodyArmor[[#This Row],[phy_spi]]*Sheet1!$B$2 +
        value*tblBodyArmor[[#This Row],[phy_gra]]*Sheet1!$C$2
    ) + tblBodyArmor[[#This Row],[Base_phy]],
    tblBodyArmor[[#This Row],[Base_phy]]
))</f>
        <v>3</v>
      </c>
      <c r="T14" s="7">
        <f>IF(tblBodyArmor[[#This Row],[Name]]="","",
IF(AND(Sheet1!$A$2&gt;=tblBodyArmor[[#This Row],[min_cor]],
       Sheet1!$B$2&gt;=tblBodyArmor[[#This Row],[min_spi]],
       Sheet1!$C$2&gt;=tblBodyArmor[[#This Row],[min_gra]]),
   _xlfn.FLOOR.MATH(value*tblBodyArmor[[#This Row],[mag_cor]]*Sheet1!$A$2 +
              value*tblBodyArmor[[#This Row],[mag_spi]]*Sheet1!$B$2 +
              value*tblBodyArmor[[#This Row],[mag_gra]]*Sheet1!$C$2)
   + tblBodyArmor[[#This Row],[Base_mag]],
   tblBodyArmor[[#This Row],[Base_mag]]))</f>
        <v>5</v>
      </c>
      <c r="U14" s="9">
        <f>IF(tblBodyArmor[[#This Row],[Name]]="","",
IF(AND(Sheet1!$A$2&gt;=tblBodyArmor[[#This Row],[min_cor]],
       Sheet1!$B$2&gt;=tblBodyArmor[[#This Row],[min_spi]],
       Sheet1!$C$2&gt;=tblBodyArmor[[#This Row],[min_gra]]),
   _xlfn.FLOOR.MATH(value*tblBodyArmor[[#This Row],[sta_cor]]*Sheet1!$A$2 +
              value*tblBodyArmor[[#This Row],[sta_spi]]*Sheet1!$B$2 +
              value*tblBodyArmor[[#This Row],[sta_gra]]*Sheet1!$C$2)
   + tblBodyArmor[[#This Row],[Base_sta]],
   tblBodyArmor[[#This Row],[Base_sta]]))</f>
        <v>3</v>
      </c>
      <c r="V14" s="7">
        <f>IF(tblBodyArmor[[#This Row],[Name]]="","",
tblBodyArmor[[#This Row],[phy]]*Sheet1!$E$2 +
tblBodyArmor[[#This Row],[mag]]*Sheet1!$F$2 +
tblBodyArmor[[#This Row],[sta]]*Sheet1!$G$2)</f>
        <v>11</v>
      </c>
      <c r="W14" s="25">
        <f>IF(tblBodyArmor[[#This Row],[Name]]="","",
_xlfn.RANK.EQ(tblBodyArmor[[#This Row],[Score]], tblBodyArmor[Score], 0))</f>
        <v>11</v>
      </c>
    </row>
    <row r="15" spans="1:23" x14ac:dyDescent="0.3">
      <c r="A15" s="7" t="s">
        <v>134</v>
      </c>
      <c r="B15" s="7" t="s">
        <v>105</v>
      </c>
      <c r="C15" s="7" t="s">
        <v>38</v>
      </c>
      <c r="D15" s="8">
        <v>3</v>
      </c>
      <c r="E15" s="7">
        <v>0</v>
      </c>
      <c r="F15" s="9">
        <v>4</v>
      </c>
      <c r="G15" s="7"/>
      <c r="H15" s="7"/>
      <c r="I15" s="18">
        <v>2</v>
      </c>
      <c r="J15" s="7"/>
      <c r="K15" s="7"/>
      <c r="L15" s="18"/>
      <c r="M15" s="7"/>
      <c r="N15" s="7"/>
      <c r="O15" s="7">
        <v>2</v>
      </c>
      <c r="P15" s="8"/>
      <c r="Q15" s="7"/>
      <c r="R15" s="7">
        <v>10</v>
      </c>
      <c r="S15" s="8">
        <f>IF(tblBodyArmor[[#This Row],[Name]]="","",
IF( AND(
        Sheet1!$A$2 &gt;= tblBodyArmor[[#This Row],[min_cor]],
        Sheet1!$B$2 &gt;= tblBodyArmor[[#This Row],[min_spi]],
        Sheet1!$C$2 &gt;= tblBodyArmor[[#This Row],[min_gra]]
    ),
    _xlfn.FLOOR.MATH(
        value*tblBodyArmor[[#This Row],[phy_cor]]*Sheet1!$A$2 +
        value*tblBodyArmor[[#This Row],[phy_spi]]*Sheet1!$B$2 +
        value*tblBodyArmor[[#This Row],[phy_gra]]*Sheet1!$C$2
    ) + tblBodyArmor[[#This Row],[Base_phy]],
    tblBodyArmor[[#This Row],[Base_phy]]
))</f>
        <v>12</v>
      </c>
      <c r="T15" s="7">
        <f>IF(tblBodyArmor[[#This Row],[Name]]="","",
IF(AND(Sheet1!$A$2&gt;=tblBodyArmor[[#This Row],[min_cor]],
       Sheet1!$B$2&gt;=tblBodyArmor[[#This Row],[min_spi]],
       Sheet1!$C$2&gt;=tblBodyArmor[[#This Row],[min_gra]]),
   _xlfn.FLOOR.MATH(value*tblBodyArmor[[#This Row],[mag_cor]]*Sheet1!$A$2 +
              value*tblBodyArmor[[#This Row],[mag_spi]]*Sheet1!$B$2 +
              value*tblBodyArmor[[#This Row],[mag_gra]]*Sheet1!$C$2)
   + tblBodyArmor[[#This Row],[Base_mag]],
   tblBodyArmor[[#This Row],[Base_mag]]))</f>
        <v>0</v>
      </c>
      <c r="U15" s="9">
        <f>IF(tblBodyArmor[[#This Row],[Name]]="","",
IF(AND(Sheet1!$A$2&gt;=tblBodyArmor[[#This Row],[min_cor]],
       Sheet1!$B$2&gt;=tblBodyArmor[[#This Row],[min_spi]],
       Sheet1!$C$2&gt;=tblBodyArmor[[#This Row],[min_gra]]),
   _xlfn.FLOOR.MATH(value*tblBodyArmor[[#This Row],[sta_cor]]*Sheet1!$A$2 +
              value*tblBodyArmor[[#This Row],[sta_spi]]*Sheet1!$B$2 +
              value*tblBodyArmor[[#This Row],[sta_gra]]*Sheet1!$C$2)
   + tblBodyArmor[[#This Row],[Base_sta]],
   tblBodyArmor[[#This Row],[Base_sta]]))</f>
        <v>13</v>
      </c>
      <c r="V15" s="7">
        <f>IF(tblBodyArmor[[#This Row],[Name]]="","",
tblBodyArmor[[#This Row],[phy]]*Sheet1!$E$2 +
tblBodyArmor[[#This Row],[mag]]*Sheet1!$F$2 +
tblBodyArmor[[#This Row],[sta]]*Sheet1!$G$2)</f>
        <v>25</v>
      </c>
      <c r="W15" s="25">
        <f>IF(tblBodyArmor[[#This Row],[Name]]="","",
_xlfn.RANK.EQ(tblBodyArmor[[#This Row],[Score]], tblBodyArmor[Score], 0))</f>
        <v>5</v>
      </c>
    </row>
    <row r="16" spans="1:23" x14ac:dyDescent="0.3">
      <c r="A16" s="7" t="s">
        <v>188</v>
      </c>
      <c r="B16" s="7" t="s">
        <v>106</v>
      </c>
      <c r="C16" s="7" t="s">
        <v>39</v>
      </c>
      <c r="D16" s="8">
        <v>5</v>
      </c>
      <c r="E16" s="7">
        <v>0</v>
      </c>
      <c r="F16" s="9">
        <v>3</v>
      </c>
      <c r="G16" s="7">
        <v>1</v>
      </c>
      <c r="H16" s="7"/>
      <c r="I16" s="18"/>
      <c r="J16" s="7"/>
      <c r="K16" s="7"/>
      <c r="L16" s="18"/>
      <c r="M16" s="7">
        <v>1</v>
      </c>
      <c r="N16" s="7"/>
      <c r="O16" s="7"/>
      <c r="P16" s="8"/>
      <c r="Q16" s="7"/>
      <c r="R16" s="7"/>
      <c r="S16" s="8">
        <f>IF(tblBodyArmor[[#This Row],[Name]]="","",
IF( AND(
        Sheet1!$A$2 &gt;= tblBodyArmor[[#This Row],[min_cor]],
        Sheet1!$B$2 &gt;= tblBodyArmor[[#This Row],[min_spi]],
        Sheet1!$C$2 &gt;= tblBodyArmor[[#This Row],[min_gra]]
    ),
    _xlfn.FLOOR.MATH(
        value*tblBodyArmor[[#This Row],[phy_cor]]*Sheet1!$A$2 +
        value*tblBodyArmor[[#This Row],[phy_spi]]*Sheet1!$B$2 +
        value*tblBodyArmor[[#This Row],[phy_gra]]*Sheet1!$C$2
    ) + tblBodyArmor[[#This Row],[Base_phy]],
    tblBodyArmor[[#This Row],[Base_phy]]
))</f>
        <v>5</v>
      </c>
      <c r="T16" s="7">
        <f>IF(tblBodyArmor[[#This Row],[Name]]="","",
IF(AND(Sheet1!$A$2&gt;=tblBodyArmor[[#This Row],[min_cor]],
       Sheet1!$B$2&gt;=tblBodyArmor[[#This Row],[min_spi]],
       Sheet1!$C$2&gt;=tblBodyArmor[[#This Row],[min_gra]]),
   _xlfn.FLOOR.MATH(value*tblBodyArmor[[#This Row],[mag_cor]]*Sheet1!$A$2 +
              value*tblBodyArmor[[#This Row],[mag_spi]]*Sheet1!$B$2 +
              value*tblBodyArmor[[#This Row],[mag_gra]]*Sheet1!$C$2)
   + tblBodyArmor[[#This Row],[Base_mag]],
   tblBodyArmor[[#This Row],[Base_mag]]))</f>
        <v>0</v>
      </c>
      <c r="U16" s="9">
        <f>IF(tblBodyArmor[[#This Row],[Name]]="","",
IF(AND(Sheet1!$A$2&gt;=tblBodyArmor[[#This Row],[min_cor]],
       Sheet1!$B$2&gt;=tblBodyArmor[[#This Row],[min_spi]],
       Sheet1!$C$2&gt;=tblBodyArmor[[#This Row],[min_gra]]),
   _xlfn.FLOOR.MATH(value*tblBodyArmor[[#This Row],[sta_cor]]*Sheet1!$A$2 +
              value*tblBodyArmor[[#This Row],[sta_spi]]*Sheet1!$B$2 +
              value*tblBodyArmor[[#This Row],[sta_gra]]*Sheet1!$C$2)
   + tblBodyArmor[[#This Row],[Base_sta]],
   tblBodyArmor[[#This Row],[Base_sta]]))</f>
        <v>3</v>
      </c>
      <c r="V16" s="7">
        <f>IF(tblBodyArmor[[#This Row],[Name]]="","",
tblBodyArmor[[#This Row],[phy]]*Sheet1!$E$2 +
tblBodyArmor[[#This Row],[mag]]*Sheet1!$F$2 +
tblBodyArmor[[#This Row],[sta]]*Sheet1!$G$2)</f>
        <v>8</v>
      </c>
      <c r="W16" s="25">
        <f>IF(tblBodyArmor[[#This Row],[Name]]="","",
_xlfn.RANK.EQ(tblBodyArmor[[#This Row],[Score]], tblBodyArmor[Score], 0))</f>
        <v>17</v>
      </c>
    </row>
    <row r="17" spans="1:23" x14ac:dyDescent="0.3">
      <c r="A17" s="7" t="s">
        <v>136</v>
      </c>
      <c r="B17" s="7" t="s">
        <v>107</v>
      </c>
      <c r="C17" s="7" t="s">
        <v>17</v>
      </c>
      <c r="D17" s="8">
        <v>5</v>
      </c>
      <c r="E17" s="7">
        <v>0</v>
      </c>
      <c r="F17" s="9">
        <v>4</v>
      </c>
      <c r="G17" s="7">
        <v>2</v>
      </c>
      <c r="H17" s="7"/>
      <c r="I17" s="18">
        <v>2</v>
      </c>
      <c r="J17" s="7"/>
      <c r="K17" s="7"/>
      <c r="L17" s="18"/>
      <c r="M17" s="7">
        <v>2</v>
      </c>
      <c r="N17" s="7"/>
      <c r="O17" s="7">
        <v>2</v>
      </c>
      <c r="P17" s="8"/>
      <c r="Q17" s="7"/>
      <c r="R17" s="7">
        <v>17</v>
      </c>
      <c r="S17" s="8">
        <f>IF(tblBodyArmor[[#This Row],[Name]]="","",
IF( AND(
        Sheet1!$A$2 &gt;= tblBodyArmor[[#This Row],[min_cor]],
        Sheet1!$B$2 &gt;= tblBodyArmor[[#This Row],[min_spi]],
        Sheet1!$C$2 &gt;= tblBodyArmor[[#This Row],[min_gra]]
    ),
    _xlfn.FLOOR.MATH(
        value*tblBodyArmor[[#This Row],[phy_cor]]*Sheet1!$A$2 +
        value*tblBodyArmor[[#This Row],[phy_spi]]*Sheet1!$B$2 +
        value*tblBodyArmor[[#This Row],[phy_gra]]*Sheet1!$C$2
    ) + tblBodyArmor[[#This Row],[Base_phy]],
    tblBodyArmor[[#This Row],[Base_phy]]
))</f>
        <v>16</v>
      </c>
      <c r="T17" s="7">
        <f>IF(tblBodyArmor[[#This Row],[Name]]="","",
IF(AND(Sheet1!$A$2&gt;=tblBodyArmor[[#This Row],[min_cor]],
       Sheet1!$B$2&gt;=tblBodyArmor[[#This Row],[min_spi]],
       Sheet1!$C$2&gt;=tblBodyArmor[[#This Row],[min_gra]]),
   _xlfn.FLOOR.MATH(value*tblBodyArmor[[#This Row],[mag_cor]]*Sheet1!$A$2 +
              value*tblBodyArmor[[#This Row],[mag_spi]]*Sheet1!$B$2 +
              value*tblBodyArmor[[#This Row],[mag_gra]]*Sheet1!$C$2)
   + tblBodyArmor[[#This Row],[Base_mag]],
   tblBodyArmor[[#This Row],[Base_mag]]))</f>
        <v>0</v>
      </c>
      <c r="U17" s="9">
        <f>IF(tblBodyArmor[[#This Row],[Name]]="","",
IF(AND(Sheet1!$A$2&gt;=tblBodyArmor[[#This Row],[min_cor]],
       Sheet1!$B$2&gt;=tblBodyArmor[[#This Row],[min_spi]],
       Sheet1!$C$2&gt;=tblBodyArmor[[#This Row],[min_gra]]),
   _xlfn.FLOOR.MATH(value*tblBodyArmor[[#This Row],[sta_cor]]*Sheet1!$A$2 +
              value*tblBodyArmor[[#This Row],[sta_spi]]*Sheet1!$B$2 +
              value*tblBodyArmor[[#This Row],[sta_gra]]*Sheet1!$C$2)
   + tblBodyArmor[[#This Row],[Base_sta]],
   tblBodyArmor[[#This Row],[Base_sta]]))</f>
        <v>15</v>
      </c>
      <c r="V17" s="7">
        <f>IF(tblBodyArmor[[#This Row],[Name]]="","",
tblBodyArmor[[#This Row],[phy]]*Sheet1!$E$2 +
tblBodyArmor[[#This Row],[mag]]*Sheet1!$F$2 +
tblBodyArmor[[#This Row],[sta]]*Sheet1!$G$2)</f>
        <v>31</v>
      </c>
      <c r="W17" s="25">
        <f>IF(tblBodyArmor[[#This Row],[Name]]="","",
_xlfn.RANK.EQ(tblBodyArmor[[#This Row],[Score]], tblBodyArmor[Score], 0))</f>
        <v>4</v>
      </c>
    </row>
    <row r="18" spans="1:23" x14ac:dyDescent="0.3">
      <c r="A18" s="7" t="s">
        <v>186</v>
      </c>
      <c r="B18" s="7" t="s">
        <v>167</v>
      </c>
      <c r="C18" s="7" t="s">
        <v>166</v>
      </c>
      <c r="D18" s="8">
        <v>3</v>
      </c>
      <c r="E18" s="7">
        <v>5</v>
      </c>
      <c r="F18" s="9">
        <v>4</v>
      </c>
      <c r="G18" s="7"/>
      <c r="H18" s="7">
        <v>2</v>
      </c>
      <c r="I18" s="18"/>
      <c r="J18" s="7"/>
      <c r="K18" s="7">
        <v>3</v>
      </c>
      <c r="L18" s="18"/>
      <c r="M18" s="7"/>
      <c r="N18" s="7">
        <v>1</v>
      </c>
      <c r="O18" s="7"/>
      <c r="P18" s="8"/>
      <c r="Q18" s="7">
        <v>22</v>
      </c>
      <c r="R18" s="7"/>
      <c r="S18" s="8">
        <f>IF(tblBodyArmor[[#This Row],[Name]]="","",
IF( AND(
        Sheet1!$A$2 &gt;= tblBodyArmor[[#This Row],[min_cor]],
        Sheet1!$B$2 &gt;= tblBodyArmor[[#This Row],[min_spi]],
        Sheet1!$C$2 &gt;= tblBodyArmor[[#This Row],[min_gra]]
    ),
    _xlfn.FLOOR.MATH(
        value*tblBodyArmor[[#This Row],[phy_cor]]*Sheet1!$A$2 +
        value*tblBodyArmor[[#This Row],[phy_spi]]*Sheet1!$B$2 +
        value*tblBodyArmor[[#This Row],[phy_gra]]*Sheet1!$C$2
    ) + tblBodyArmor[[#This Row],[Base_phy]],
    tblBodyArmor[[#This Row],[Base_phy]]
))</f>
        <v>3</v>
      </c>
      <c r="T18" s="7">
        <f>IF(tblBodyArmor[[#This Row],[Name]]="","",
IF(AND(Sheet1!$A$2&gt;=tblBodyArmor[[#This Row],[min_cor]],
       Sheet1!$B$2&gt;=tblBodyArmor[[#This Row],[min_spi]],
       Sheet1!$C$2&gt;=tblBodyArmor[[#This Row],[min_gra]]),
   _xlfn.FLOOR.MATH(value*tblBodyArmor[[#This Row],[mag_cor]]*Sheet1!$A$2 +
              value*tblBodyArmor[[#This Row],[mag_spi]]*Sheet1!$B$2 +
              value*tblBodyArmor[[#This Row],[mag_gra]]*Sheet1!$C$2)
   + tblBodyArmor[[#This Row],[Base_mag]],
   tblBodyArmor[[#This Row],[Base_mag]]))</f>
        <v>5</v>
      </c>
      <c r="U18" s="9">
        <f>IF(tblBodyArmor[[#This Row],[Name]]="","",
IF(AND(Sheet1!$A$2&gt;=tblBodyArmor[[#This Row],[min_cor]],
       Sheet1!$B$2&gt;=tblBodyArmor[[#This Row],[min_spi]],
       Sheet1!$C$2&gt;=tblBodyArmor[[#This Row],[min_gra]]),
   _xlfn.FLOOR.MATH(value*tblBodyArmor[[#This Row],[sta_cor]]*Sheet1!$A$2 +
              value*tblBodyArmor[[#This Row],[sta_spi]]*Sheet1!$B$2 +
              value*tblBodyArmor[[#This Row],[sta_gra]]*Sheet1!$C$2)
   + tblBodyArmor[[#This Row],[Base_sta]],
   tblBodyArmor[[#This Row],[Base_sta]]))</f>
        <v>4</v>
      </c>
      <c r="V18" s="7">
        <f>IF(tblBodyArmor[[#This Row],[Name]]="","",
tblBodyArmor[[#This Row],[phy]]*Sheet1!$E$2 +
tblBodyArmor[[#This Row],[mag]]*Sheet1!$F$2 +
tblBodyArmor[[#This Row],[sta]]*Sheet1!$G$2)</f>
        <v>12</v>
      </c>
      <c r="W18" s="25">
        <f>IF(tblBodyArmor[[#This Row],[Name]]="","",
_xlfn.RANK.EQ(tblBodyArmor[[#This Row],[Score]], tblBodyArmor[Score], 0))</f>
        <v>10</v>
      </c>
    </row>
    <row r="19" spans="1:23" x14ac:dyDescent="0.3">
      <c r="A19" s="7" t="s">
        <v>145</v>
      </c>
      <c r="B19" s="7" t="s">
        <v>108</v>
      </c>
      <c r="C19" s="7" t="s">
        <v>67</v>
      </c>
      <c r="D19" s="8">
        <v>3</v>
      </c>
      <c r="E19" s="7">
        <v>5</v>
      </c>
      <c r="F19" s="9">
        <v>0</v>
      </c>
      <c r="G19" s="7"/>
      <c r="H19" s="7">
        <v>2</v>
      </c>
      <c r="I19" s="18"/>
      <c r="J19" s="7"/>
      <c r="K19" s="7">
        <v>1</v>
      </c>
      <c r="L19" s="18"/>
      <c r="M19" s="7"/>
      <c r="N19" s="7"/>
      <c r="O19" s="7"/>
      <c r="P19" s="8"/>
      <c r="Q19" s="7"/>
      <c r="R19" s="7"/>
      <c r="S19" s="8">
        <f>IF(tblBodyArmor[[#This Row],[Name]]="","",
IF( AND(
        Sheet1!$A$2 &gt;= tblBodyArmor[[#This Row],[min_cor]],
        Sheet1!$B$2 &gt;= tblBodyArmor[[#This Row],[min_spi]],
        Sheet1!$C$2 &gt;= tblBodyArmor[[#This Row],[min_gra]]
    ),
    _xlfn.FLOOR.MATH(
        value*tblBodyArmor[[#This Row],[phy_cor]]*Sheet1!$A$2 +
        value*tblBodyArmor[[#This Row],[phy_spi]]*Sheet1!$B$2 +
        value*tblBodyArmor[[#This Row],[phy_gra]]*Sheet1!$C$2
    ) + tblBodyArmor[[#This Row],[Base_phy]],
    tblBodyArmor[[#This Row],[Base_phy]]
))</f>
        <v>4</v>
      </c>
      <c r="T19" s="7">
        <f>IF(tblBodyArmor[[#This Row],[Name]]="","",
IF(AND(Sheet1!$A$2&gt;=tblBodyArmor[[#This Row],[min_cor]],
       Sheet1!$B$2&gt;=tblBodyArmor[[#This Row],[min_spi]],
       Sheet1!$C$2&gt;=tblBodyArmor[[#This Row],[min_gra]]),
   _xlfn.FLOOR.MATH(value*tblBodyArmor[[#This Row],[mag_cor]]*Sheet1!$A$2 +
              value*tblBodyArmor[[#This Row],[mag_spi]]*Sheet1!$B$2 +
              value*tblBodyArmor[[#This Row],[mag_gra]]*Sheet1!$C$2)
   + tblBodyArmor[[#This Row],[Base_mag]],
   tblBodyArmor[[#This Row],[Base_mag]]))</f>
        <v>5</v>
      </c>
      <c r="U19" s="9">
        <f>IF(tblBodyArmor[[#This Row],[Name]]="","",
IF(AND(Sheet1!$A$2&gt;=tblBodyArmor[[#This Row],[min_cor]],
       Sheet1!$B$2&gt;=tblBodyArmor[[#This Row],[min_spi]],
       Sheet1!$C$2&gt;=tblBodyArmor[[#This Row],[min_gra]]),
   _xlfn.FLOOR.MATH(value*tblBodyArmor[[#This Row],[sta_cor]]*Sheet1!$A$2 +
              value*tblBodyArmor[[#This Row],[sta_spi]]*Sheet1!$B$2 +
              value*tblBodyArmor[[#This Row],[sta_gra]]*Sheet1!$C$2)
   + tblBodyArmor[[#This Row],[Base_sta]],
   tblBodyArmor[[#This Row],[Base_sta]]))</f>
        <v>0</v>
      </c>
      <c r="V19" s="7">
        <f>IF(tblBodyArmor[[#This Row],[Name]]="","",
tblBodyArmor[[#This Row],[phy]]*Sheet1!$E$2 +
tblBodyArmor[[#This Row],[mag]]*Sheet1!$F$2 +
tblBodyArmor[[#This Row],[sta]]*Sheet1!$G$2)</f>
        <v>9</v>
      </c>
      <c r="W19" s="25">
        <f>IF(tblBodyArmor[[#This Row],[Name]]="","",
_xlfn.RANK.EQ(tblBodyArmor[[#This Row],[Score]], tblBodyArmor[Score], 0))</f>
        <v>15</v>
      </c>
    </row>
    <row r="20" spans="1:23" x14ac:dyDescent="0.3">
      <c r="A20" s="7" t="s">
        <v>146</v>
      </c>
      <c r="B20" s="7" t="s">
        <v>109</v>
      </c>
      <c r="C20" s="7" t="s">
        <v>119</v>
      </c>
      <c r="D20" s="8">
        <v>4</v>
      </c>
      <c r="E20" s="7">
        <v>0</v>
      </c>
      <c r="F20" s="9">
        <v>4</v>
      </c>
      <c r="G20" s="7"/>
      <c r="H20" s="7"/>
      <c r="I20" s="18">
        <v>2</v>
      </c>
      <c r="J20" s="7"/>
      <c r="K20" s="7"/>
      <c r="L20" s="18"/>
      <c r="M20" s="7"/>
      <c r="N20" s="7"/>
      <c r="O20" s="7">
        <v>1</v>
      </c>
      <c r="P20" s="8"/>
      <c r="Q20" s="7"/>
      <c r="R20" s="7"/>
      <c r="S20" s="8">
        <f>IF(tblBodyArmor[[#This Row],[Name]]="","",
IF( AND(
        Sheet1!$A$2 &gt;= tblBodyArmor[[#This Row],[min_cor]],
        Sheet1!$B$2 &gt;= tblBodyArmor[[#This Row],[min_spi]],
        Sheet1!$C$2 &gt;= tblBodyArmor[[#This Row],[min_gra]]
    ),
    _xlfn.FLOOR.MATH(
        value*tblBodyArmor[[#This Row],[phy_cor]]*Sheet1!$A$2 +
        value*tblBodyArmor[[#This Row],[phy_spi]]*Sheet1!$B$2 +
        value*tblBodyArmor[[#This Row],[phy_gra]]*Sheet1!$C$2
    ) + tblBodyArmor[[#This Row],[Base_phy]],
    tblBodyArmor[[#This Row],[Base_phy]]
))</f>
        <v>13</v>
      </c>
      <c r="T20" s="7">
        <f>IF(tblBodyArmor[[#This Row],[Name]]="","",
IF(AND(Sheet1!$A$2&gt;=tblBodyArmor[[#This Row],[min_cor]],
       Sheet1!$B$2&gt;=tblBodyArmor[[#This Row],[min_spi]],
       Sheet1!$C$2&gt;=tblBodyArmor[[#This Row],[min_gra]]),
   _xlfn.FLOOR.MATH(value*tblBodyArmor[[#This Row],[mag_cor]]*Sheet1!$A$2 +
              value*tblBodyArmor[[#This Row],[mag_spi]]*Sheet1!$B$2 +
              value*tblBodyArmor[[#This Row],[mag_gra]]*Sheet1!$C$2)
   + tblBodyArmor[[#This Row],[Base_mag]],
   tblBodyArmor[[#This Row],[Base_mag]]))</f>
        <v>0</v>
      </c>
      <c r="U20" s="9">
        <f>IF(tblBodyArmor[[#This Row],[Name]]="","",
IF(AND(Sheet1!$A$2&gt;=tblBodyArmor[[#This Row],[min_cor]],
       Sheet1!$B$2&gt;=tblBodyArmor[[#This Row],[min_spi]],
       Sheet1!$C$2&gt;=tblBodyArmor[[#This Row],[min_gra]]),
   _xlfn.FLOOR.MATH(value*tblBodyArmor[[#This Row],[sta_cor]]*Sheet1!$A$2 +
              value*tblBodyArmor[[#This Row],[sta_spi]]*Sheet1!$B$2 +
              value*tblBodyArmor[[#This Row],[sta_gra]]*Sheet1!$C$2)
   + tblBodyArmor[[#This Row],[Base_sta]],
   tblBodyArmor[[#This Row],[Base_sta]]))</f>
        <v>8</v>
      </c>
      <c r="V20" s="7">
        <f>IF(tblBodyArmor[[#This Row],[Name]]="","",
tblBodyArmor[[#This Row],[phy]]*Sheet1!$E$2 +
tblBodyArmor[[#This Row],[mag]]*Sheet1!$F$2 +
tblBodyArmor[[#This Row],[sta]]*Sheet1!$G$2)</f>
        <v>21</v>
      </c>
      <c r="W20" s="25">
        <f>IF(tblBodyArmor[[#This Row],[Name]]="","",
_xlfn.RANK.EQ(tblBodyArmor[[#This Row],[Score]], tblBodyArmor[Score], 0))</f>
        <v>6</v>
      </c>
    </row>
    <row r="21" spans="1:23" x14ac:dyDescent="0.3">
      <c r="A21" s="7" t="s">
        <v>147</v>
      </c>
      <c r="B21" s="7" t="s">
        <v>110</v>
      </c>
      <c r="C21" s="7" t="s">
        <v>68</v>
      </c>
      <c r="D21" s="8">
        <v>5</v>
      </c>
      <c r="E21" s="7">
        <v>0</v>
      </c>
      <c r="F21" s="9">
        <v>3</v>
      </c>
      <c r="G21" s="7">
        <v>2</v>
      </c>
      <c r="H21" s="7"/>
      <c r="I21" s="18"/>
      <c r="J21" s="7"/>
      <c r="K21" s="7"/>
      <c r="L21" s="18"/>
      <c r="M21" s="7">
        <v>1</v>
      </c>
      <c r="N21" s="7"/>
      <c r="O21" s="7"/>
      <c r="P21" s="8"/>
      <c r="Q21" s="7"/>
      <c r="R21" s="7"/>
      <c r="S21" s="8">
        <f>IF(tblBodyArmor[[#This Row],[Name]]="","",
IF( AND(
        Sheet1!$A$2 &gt;= tblBodyArmor[[#This Row],[min_cor]],
        Sheet1!$B$2 &gt;= tblBodyArmor[[#This Row],[min_spi]],
        Sheet1!$C$2 &gt;= tblBodyArmor[[#This Row],[min_gra]]
    ),
    _xlfn.FLOOR.MATH(
        value*tblBodyArmor[[#This Row],[phy_cor]]*Sheet1!$A$2 +
        value*tblBodyArmor[[#This Row],[phy_spi]]*Sheet1!$B$2 +
        value*tblBodyArmor[[#This Row],[phy_gra]]*Sheet1!$C$2
    ) + tblBodyArmor[[#This Row],[Base_phy]],
    tblBodyArmor[[#This Row],[Base_phy]]
))</f>
        <v>6</v>
      </c>
      <c r="T21" s="7">
        <f>IF(tblBodyArmor[[#This Row],[Name]]="","",
IF(AND(Sheet1!$A$2&gt;=tblBodyArmor[[#This Row],[min_cor]],
       Sheet1!$B$2&gt;=tblBodyArmor[[#This Row],[min_spi]],
       Sheet1!$C$2&gt;=tblBodyArmor[[#This Row],[min_gra]]),
   _xlfn.FLOOR.MATH(value*tblBodyArmor[[#This Row],[mag_cor]]*Sheet1!$A$2 +
              value*tblBodyArmor[[#This Row],[mag_spi]]*Sheet1!$B$2 +
              value*tblBodyArmor[[#This Row],[mag_gra]]*Sheet1!$C$2)
   + tblBodyArmor[[#This Row],[Base_mag]],
   tblBodyArmor[[#This Row],[Base_mag]]))</f>
        <v>0</v>
      </c>
      <c r="U21" s="9">
        <f>IF(tblBodyArmor[[#This Row],[Name]]="","",
IF(AND(Sheet1!$A$2&gt;=tblBodyArmor[[#This Row],[min_cor]],
       Sheet1!$B$2&gt;=tblBodyArmor[[#This Row],[min_spi]],
       Sheet1!$C$2&gt;=tblBodyArmor[[#This Row],[min_gra]]),
   _xlfn.FLOOR.MATH(value*tblBodyArmor[[#This Row],[sta_cor]]*Sheet1!$A$2 +
              value*tblBodyArmor[[#This Row],[sta_spi]]*Sheet1!$B$2 +
              value*tblBodyArmor[[#This Row],[sta_gra]]*Sheet1!$C$2)
   + tblBodyArmor[[#This Row],[Base_sta]],
   tblBodyArmor[[#This Row],[Base_sta]]))</f>
        <v>3</v>
      </c>
      <c r="V21" s="7">
        <f>IF(tblBodyArmor[[#This Row],[Name]]="","",
tblBodyArmor[[#This Row],[phy]]*Sheet1!$E$2 +
tblBodyArmor[[#This Row],[mag]]*Sheet1!$F$2 +
tblBodyArmor[[#This Row],[sta]]*Sheet1!$G$2)</f>
        <v>9</v>
      </c>
      <c r="W21" s="25">
        <f>IF(tblBodyArmor[[#This Row],[Name]]="","",
_xlfn.RANK.EQ(tblBodyArmor[[#This Row],[Score]], tblBodyArmor[Score], 0))</f>
        <v>15</v>
      </c>
    </row>
  </sheetData>
  <sortState xmlns:xlrd2="http://schemas.microsoft.com/office/spreadsheetml/2017/richdata2" ref="A2:W21">
    <sortCondition ref="B1:B21"/>
  </sortState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E4548-20A2-4800-B1A4-50BF89825E20}">
  <dimension ref="A1:W21"/>
  <sheetViews>
    <sheetView zoomScale="70" zoomScaleNormal="70" workbookViewId="0">
      <selection activeCell="W3" sqref="W3"/>
    </sheetView>
  </sheetViews>
  <sheetFormatPr defaultRowHeight="14" x14ac:dyDescent="0.3"/>
  <cols>
    <col min="1" max="3" width="20.58203125" style="1" customWidth="1"/>
    <col min="4" max="4" width="10.08203125" style="4" customWidth="1"/>
    <col min="5" max="5" width="10.58203125" style="1" customWidth="1"/>
    <col min="6" max="6" width="9.25" style="5" customWidth="1"/>
    <col min="7" max="7" width="9.08203125" style="1" customWidth="1"/>
    <col min="8" max="8" width="8.6640625" style="1" customWidth="1"/>
    <col min="9" max="9" width="9.1640625" style="1" customWidth="1"/>
    <col min="10" max="10" width="9.5" style="2" customWidth="1"/>
    <col min="11" max="11" width="9.1640625" style="1" customWidth="1"/>
    <col min="12" max="12" width="9.6640625" style="3" customWidth="1"/>
    <col min="13" max="15" width="8.6640625" style="1" customWidth="1"/>
    <col min="16" max="16" width="9.08203125" style="4" customWidth="1"/>
    <col min="17" max="17" width="8.6640625" style="1" customWidth="1"/>
    <col min="18" max="18" width="9.1640625" style="5" customWidth="1"/>
    <col min="19" max="19" width="10.4140625" style="4" bestFit="1" customWidth="1"/>
    <col min="20" max="20" width="9.33203125" style="1" bestFit="1" customWidth="1"/>
    <col min="21" max="21" width="10.4140625" style="5" bestFit="1" customWidth="1"/>
    <col min="22" max="22" width="8.6640625" style="1" customWidth="1"/>
    <col min="23" max="23" width="8.6640625" style="7" customWidth="1"/>
    <col min="24" max="16384" width="8.6640625" style="1"/>
  </cols>
  <sheetData>
    <row r="1" spans="1:23" x14ac:dyDescent="0.3">
      <c r="A1" s="7" t="s">
        <v>0</v>
      </c>
      <c r="B1" s="7" t="s">
        <v>20</v>
      </c>
      <c r="C1" s="7" t="s">
        <v>1</v>
      </c>
      <c r="D1" s="8" t="s">
        <v>13</v>
      </c>
      <c r="E1" s="7" t="s">
        <v>2</v>
      </c>
      <c r="F1" s="9" t="s">
        <v>3</v>
      </c>
      <c r="G1" s="10" t="s">
        <v>19</v>
      </c>
      <c r="H1" s="11" t="s">
        <v>14</v>
      </c>
      <c r="I1" s="17" t="s">
        <v>15</v>
      </c>
      <c r="J1" s="19" t="s">
        <v>4</v>
      </c>
      <c r="K1" s="11" t="s">
        <v>5</v>
      </c>
      <c r="L1" s="12" t="s">
        <v>6</v>
      </c>
      <c r="M1" s="13" t="s">
        <v>7</v>
      </c>
      <c r="N1" s="14" t="s">
        <v>8</v>
      </c>
      <c r="O1" s="15" t="s">
        <v>9</v>
      </c>
      <c r="P1" s="16" t="s">
        <v>10</v>
      </c>
      <c r="Q1" s="11" t="s">
        <v>11</v>
      </c>
      <c r="R1" s="20" t="s">
        <v>12</v>
      </c>
      <c r="S1" s="8" t="s">
        <v>155</v>
      </c>
      <c r="T1" s="7" t="s">
        <v>156</v>
      </c>
      <c r="U1" s="9" t="s">
        <v>157</v>
      </c>
      <c r="V1" s="7" t="s">
        <v>161</v>
      </c>
      <c r="W1" s="7" t="s">
        <v>171</v>
      </c>
    </row>
    <row r="2" spans="1:23" x14ac:dyDescent="0.3">
      <c r="A2" s="7" t="s">
        <v>47</v>
      </c>
      <c r="B2" s="7" t="s">
        <v>46</v>
      </c>
      <c r="C2" s="7" t="s">
        <v>48</v>
      </c>
      <c r="D2" s="8">
        <v>5</v>
      </c>
      <c r="E2" s="7">
        <v>1</v>
      </c>
      <c r="F2" s="9">
        <v>4</v>
      </c>
      <c r="G2" s="7">
        <v>3</v>
      </c>
      <c r="H2" s="7"/>
      <c r="I2" s="7"/>
      <c r="J2" s="21">
        <v>1</v>
      </c>
      <c r="K2" s="7"/>
      <c r="L2" s="18"/>
      <c r="M2" s="7">
        <v>2</v>
      </c>
      <c r="N2" s="7"/>
      <c r="O2" s="7"/>
      <c r="P2" s="8">
        <v>22</v>
      </c>
      <c r="Q2" s="7"/>
      <c r="R2" s="9"/>
      <c r="S2" s="8">
        <f>IF(tblBoots[[#This Row],[Name]]="","",
IF( AND(
        Sheet1!$A$2 &gt;= tblBoots[[#This Row],[min_cor]],
        Sheet1!$B$2 &gt;= tblBoots[[#This Row],[min_spi]],
        Sheet1!$C$2 &gt;= tblBoots[[#This Row],[min_gra]]
    ),
    _xlfn.FLOOR.MATH(
        value*tblBoots[[#This Row],[phy_cor]]*Sheet1!$A$2 +
        value*tblBoots[[#This Row],[phy_spi]]*Sheet1!$B$2 +
        value*tblBoots[[#This Row],[phy_gra]]*Sheet1!$C$2
    ) + tblBoots[[#This Row],[Base_phy]],
    tblBoots[[#This Row],[Base_phy]]
))</f>
        <v>5</v>
      </c>
      <c r="T2" s="7">
        <f>IF(tblBoots[[#This Row],[Name]]="","",
IF(AND(Sheet1!$A$2&gt;=tblBoots[[#This Row],[min_cor]],
       Sheet1!$B$2&gt;=tblBoots[[#This Row],[min_spi]],
       Sheet1!$C$2&gt;=tblBoots[[#This Row],[min_gra]]),
   _xlfn.FLOOR.MATH(value*tblBoots[[#This Row],[mag_cor]]*Sheet1!$A$2 +
              value*tblBoots[[#This Row],[mag_spi]]*Sheet1!$B$2 +
              value*tblBoots[[#This Row],[mag_gra]]*Sheet1!$C$2)
   + tblBoots[[#This Row],[Base_mag]],
   tblBoots[[#This Row],[Base_mag]]))</f>
        <v>1</v>
      </c>
      <c r="U2" s="9">
        <f>IF(tblBoots[[#This Row],[Name]]="","",
IF(AND(Sheet1!$A$2&gt;=tblBoots[[#This Row],[min_cor]],
       Sheet1!$B$2&gt;=tblBoots[[#This Row],[min_spi]],
       Sheet1!$C$2&gt;=tblBoots[[#This Row],[min_gra]]),
   _xlfn.FLOOR.MATH(value*tblBoots[[#This Row],[sta_cor]]*Sheet1!$A$2 +
              value*tblBoots[[#This Row],[sta_spi]]*Sheet1!$B$2 +
              value*tblBoots[[#This Row],[sta_gra]]*Sheet1!$C$2)
   + tblBoots[[#This Row],[Base_sta]],
   tblBoots[[#This Row],[Base_sta]]))</f>
        <v>4</v>
      </c>
      <c r="V2" s="7">
        <f>IF(tblBoots[[#This Row],[Name]]="","",
tblBoots[[#This Row],[phy]]*Sheet1!$E$2 +
tblBoots[[#This Row],[mag]]*Sheet1!$F$2 +
tblBoots[[#This Row],[sta]]*Sheet1!$G$2)</f>
        <v>10</v>
      </c>
      <c r="W2" s="7">
        <f>IF(tblBoots[[#This Row],[Name]]="","",
_xlfn.RANK.EQ(tblBoots[[#This Row],[Score]], tblBoots[Score], 0))</f>
        <v>9</v>
      </c>
    </row>
    <row r="3" spans="1:23" x14ac:dyDescent="0.3">
      <c r="A3" s="7" t="s">
        <v>41</v>
      </c>
      <c r="B3" s="7" t="s">
        <v>28</v>
      </c>
      <c r="C3" s="7" t="s">
        <v>42</v>
      </c>
      <c r="D3" s="8">
        <v>5</v>
      </c>
      <c r="E3" s="7">
        <v>0</v>
      </c>
      <c r="F3" s="9">
        <v>3</v>
      </c>
      <c r="G3" s="7">
        <v>3</v>
      </c>
      <c r="H3" s="7"/>
      <c r="I3" s="7"/>
      <c r="J3" s="21"/>
      <c r="K3" s="7"/>
      <c r="L3" s="18"/>
      <c r="M3" s="7">
        <v>2</v>
      </c>
      <c r="N3" s="7"/>
      <c r="O3" s="7"/>
      <c r="P3" s="8">
        <v>14</v>
      </c>
      <c r="Q3" s="7"/>
      <c r="R3" s="9"/>
      <c r="S3" s="8">
        <f>IF(tblBoots[[#This Row],[Name]]="","",
IF( AND(
        Sheet1!$A$2 &gt;= tblBoots[[#This Row],[min_cor]],
        Sheet1!$B$2 &gt;= tblBoots[[#This Row],[min_spi]],
        Sheet1!$C$2 &gt;= tblBoots[[#This Row],[min_gra]]
    ),
    _xlfn.FLOOR.MATH(
        value*tblBoots[[#This Row],[phy_cor]]*Sheet1!$A$2 +
        value*tblBoots[[#This Row],[phy_spi]]*Sheet1!$B$2 +
        value*tblBoots[[#This Row],[phy_gra]]*Sheet1!$C$2
    ) + tblBoots[[#This Row],[Base_phy]],
    tblBoots[[#This Row],[Base_phy]]
))</f>
        <v>5</v>
      </c>
      <c r="T3" s="7">
        <f>IF(tblBoots[[#This Row],[Name]]="","",
IF(AND(Sheet1!$A$2&gt;=tblBoots[[#This Row],[min_cor]],
       Sheet1!$B$2&gt;=tblBoots[[#This Row],[min_spi]],
       Sheet1!$C$2&gt;=tblBoots[[#This Row],[min_gra]]),
   _xlfn.FLOOR.MATH(value*tblBoots[[#This Row],[mag_cor]]*Sheet1!$A$2 +
              value*tblBoots[[#This Row],[mag_spi]]*Sheet1!$B$2 +
              value*tblBoots[[#This Row],[mag_gra]]*Sheet1!$C$2)
   + tblBoots[[#This Row],[Base_mag]],
   tblBoots[[#This Row],[Base_mag]]))</f>
        <v>0</v>
      </c>
      <c r="U3" s="9">
        <f>IF(tblBoots[[#This Row],[Name]]="","",
IF(AND(Sheet1!$A$2&gt;=tblBoots[[#This Row],[min_cor]],
       Sheet1!$B$2&gt;=tblBoots[[#This Row],[min_spi]],
       Sheet1!$C$2&gt;=tblBoots[[#This Row],[min_gra]]),
   _xlfn.FLOOR.MATH(value*tblBoots[[#This Row],[sta_cor]]*Sheet1!$A$2 +
              value*tblBoots[[#This Row],[sta_spi]]*Sheet1!$B$2 +
              value*tblBoots[[#This Row],[sta_gra]]*Sheet1!$C$2)
   + tblBoots[[#This Row],[Base_sta]],
   tblBoots[[#This Row],[Base_sta]]))</f>
        <v>3</v>
      </c>
      <c r="V3" s="7">
        <f>IF(tblBoots[[#This Row],[Name]]="","",
tblBoots[[#This Row],[phy]]*Sheet1!$E$2 +
tblBoots[[#This Row],[mag]]*Sheet1!$F$2 +
tblBoots[[#This Row],[sta]]*Sheet1!$G$2)</f>
        <v>8</v>
      </c>
      <c r="W3" s="7">
        <f>IF(tblBoots[[#This Row],[Name]]="","",
_xlfn.RANK.EQ(tblBoots[[#This Row],[Score]], tblBoots[Score], 0))</f>
        <v>11</v>
      </c>
    </row>
    <row r="4" spans="1:23" x14ac:dyDescent="0.3">
      <c r="A4" s="7" t="s">
        <v>43</v>
      </c>
      <c r="B4" s="7" t="s">
        <v>29</v>
      </c>
      <c r="C4" s="7" t="s">
        <v>38</v>
      </c>
      <c r="D4" s="8">
        <v>3</v>
      </c>
      <c r="E4" s="7">
        <v>2</v>
      </c>
      <c r="F4" s="9">
        <v>2</v>
      </c>
      <c r="G4" s="7">
        <v>2</v>
      </c>
      <c r="H4" s="7"/>
      <c r="I4" s="7">
        <v>2</v>
      </c>
      <c r="J4" s="21">
        <v>1</v>
      </c>
      <c r="K4" s="7"/>
      <c r="L4" s="18"/>
      <c r="M4" s="7">
        <v>1</v>
      </c>
      <c r="N4" s="7"/>
      <c r="O4" s="7">
        <v>2</v>
      </c>
      <c r="P4" s="8">
        <v>15</v>
      </c>
      <c r="Q4" s="7"/>
      <c r="R4" s="9"/>
      <c r="S4" s="8">
        <f>IF(tblBoots[[#This Row],[Name]]="","",
IF( AND(
        Sheet1!$A$2 &gt;= tblBoots[[#This Row],[min_cor]],
        Sheet1!$B$2 &gt;= tblBoots[[#This Row],[min_spi]],
        Sheet1!$C$2 &gt;= tblBoots[[#This Row],[min_gra]]
    ),
    _xlfn.FLOOR.MATH(
        value*tblBoots[[#This Row],[phy_cor]]*Sheet1!$A$2 +
        value*tblBoots[[#This Row],[phy_spi]]*Sheet1!$B$2 +
        value*tblBoots[[#This Row],[phy_gra]]*Sheet1!$C$2
    ) + tblBoots[[#This Row],[Base_phy]],
    tblBoots[[#This Row],[Base_phy]]
))</f>
        <v>3</v>
      </c>
      <c r="T4" s="7">
        <f>IF(tblBoots[[#This Row],[Name]]="","",
IF(AND(Sheet1!$A$2&gt;=tblBoots[[#This Row],[min_cor]],
       Sheet1!$B$2&gt;=tblBoots[[#This Row],[min_spi]],
       Sheet1!$C$2&gt;=tblBoots[[#This Row],[min_gra]]),
   _xlfn.FLOOR.MATH(value*tblBoots[[#This Row],[mag_cor]]*Sheet1!$A$2 +
              value*tblBoots[[#This Row],[mag_spi]]*Sheet1!$B$2 +
              value*tblBoots[[#This Row],[mag_gra]]*Sheet1!$C$2)
   + tblBoots[[#This Row],[Base_mag]],
   tblBoots[[#This Row],[Base_mag]]))</f>
        <v>2</v>
      </c>
      <c r="U4" s="9">
        <f>IF(tblBoots[[#This Row],[Name]]="","",
IF(AND(Sheet1!$A$2&gt;=tblBoots[[#This Row],[min_cor]],
       Sheet1!$B$2&gt;=tblBoots[[#This Row],[min_spi]],
       Sheet1!$C$2&gt;=tblBoots[[#This Row],[min_gra]]),
   _xlfn.FLOOR.MATH(value*tblBoots[[#This Row],[sta_cor]]*Sheet1!$A$2 +
              value*tblBoots[[#This Row],[sta_spi]]*Sheet1!$B$2 +
              value*tblBoots[[#This Row],[sta_gra]]*Sheet1!$C$2)
   + tblBoots[[#This Row],[Base_sta]],
   tblBoots[[#This Row],[Base_sta]]))</f>
        <v>2</v>
      </c>
      <c r="V4" s="7">
        <f>IF(tblBoots[[#This Row],[Name]]="","",
tblBoots[[#This Row],[phy]]*Sheet1!$E$2 +
tblBoots[[#This Row],[mag]]*Sheet1!$F$2 +
tblBoots[[#This Row],[sta]]*Sheet1!$G$2)</f>
        <v>7</v>
      </c>
      <c r="W4" s="7">
        <f>IF(tblBoots[[#This Row],[Name]]="","",
_xlfn.RANK.EQ(tblBoots[[#This Row],[Score]], tblBoots[Score], 0))</f>
        <v>14</v>
      </c>
    </row>
    <row r="5" spans="1:23" x14ac:dyDescent="0.3">
      <c r="A5" s="7" t="s">
        <v>50</v>
      </c>
      <c r="B5" s="7" t="s">
        <v>49</v>
      </c>
      <c r="C5" s="7" t="s">
        <v>38</v>
      </c>
      <c r="D5" s="8">
        <v>3</v>
      </c>
      <c r="E5" s="7">
        <v>0</v>
      </c>
      <c r="F5" s="9">
        <v>3</v>
      </c>
      <c r="G5" s="7">
        <v>2</v>
      </c>
      <c r="H5" s="7"/>
      <c r="I5" s="7"/>
      <c r="J5" s="21"/>
      <c r="K5" s="7"/>
      <c r="L5" s="18"/>
      <c r="M5" s="7">
        <v>2</v>
      </c>
      <c r="N5" s="7"/>
      <c r="O5" s="7"/>
      <c r="P5" s="8">
        <v>12</v>
      </c>
      <c r="Q5" s="7"/>
      <c r="R5" s="9"/>
      <c r="S5" s="8">
        <f>IF(tblBoots[[#This Row],[Name]]="","",
IF( AND(
        Sheet1!$A$2 &gt;= tblBoots[[#This Row],[min_cor]],
        Sheet1!$B$2 &gt;= tblBoots[[#This Row],[min_spi]],
        Sheet1!$C$2 &gt;= tblBoots[[#This Row],[min_gra]]
    ),
    _xlfn.FLOOR.MATH(
        value*tblBoots[[#This Row],[phy_cor]]*Sheet1!$A$2 +
        value*tblBoots[[#This Row],[phy_spi]]*Sheet1!$B$2 +
        value*tblBoots[[#This Row],[phy_gra]]*Sheet1!$C$2
    ) + tblBoots[[#This Row],[Base_phy]],
    tblBoots[[#This Row],[Base_phy]]
))</f>
        <v>3</v>
      </c>
      <c r="T5" s="7">
        <f>IF(tblBoots[[#This Row],[Name]]="","",
IF(AND(Sheet1!$A$2&gt;=tblBoots[[#This Row],[min_cor]],
       Sheet1!$B$2&gt;=tblBoots[[#This Row],[min_spi]],
       Sheet1!$C$2&gt;=tblBoots[[#This Row],[min_gra]]),
   _xlfn.FLOOR.MATH(value*tblBoots[[#This Row],[mag_cor]]*Sheet1!$A$2 +
              value*tblBoots[[#This Row],[mag_spi]]*Sheet1!$B$2 +
              value*tblBoots[[#This Row],[mag_gra]]*Sheet1!$C$2)
   + tblBoots[[#This Row],[Base_mag]],
   tblBoots[[#This Row],[Base_mag]]))</f>
        <v>0</v>
      </c>
      <c r="U5" s="9">
        <f>IF(tblBoots[[#This Row],[Name]]="","",
IF(AND(Sheet1!$A$2&gt;=tblBoots[[#This Row],[min_cor]],
       Sheet1!$B$2&gt;=tblBoots[[#This Row],[min_spi]],
       Sheet1!$C$2&gt;=tblBoots[[#This Row],[min_gra]]),
   _xlfn.FLOOR.MATH(value*tblBoots[[#This Row],[sta_cor]]*Sheet1!$A$2 +
              value*tblBoots[[#This Row],[sta_spi]]*Sheet1!$B$2 +
              value*tblBoots[[#This Row],[sta_gra]]*Sheet1!$C$2)
   + tblBoots[[#This Row],[Base_sta]],
   tblBoots[[#This Row],[Base_sta]]))</f>
        <v>3</v>
      </c>
      <c r="V5" s="7">
        <f>IF(tblBoots[[#This Row],[Name]]="","",
tblBoots[[#This Row],[phy]]*Sheet1!$E$2 +
tblBoots[[#This Row],[mag]]*Sheet1!$F$2 +
tblBoots[[#This Row],[sta]]*Sheet1!$G$2)</f>
        <v>6</v>
      </c>
      <c r="W5" s="7">
        <f>IF(tblBoots[[#This Row],[Name]]="","",
_xlfn.RANK.EQ(tblBoots[[#This Row],[Score]], tblBoots[Score], 0))</f>
        <v>16</v>
      </c>
    </row>
    <row r="6" spans="1:23" x14ac:dyDescent="0.3">
      <c r="A6" s="7" t="s">
        <v>169</v>
      </c>
      <c r="B6" s="7" t="s">
        <v>51</v>
      </c>
      <c r="C6" s="7" t="s">
        <v>52</v>
      </c>
      <c r="D6" s="8">
        <v>0</v>
      </c>
      <c r="E6" s="7">
        <v>0</v>
      </c>
      <c r="F6" s="9">
        <v>0</v>
      </c>
      <c r="G6" s="7"/>
      <c r="H6" s="7"/>
      <c r="I6" s="7"/>
      <c r="J6" s="21"/>
      <c r="K6" s="7"/>
      <c r="L6" s="18"/>
      <c r="M6" s="7"/>
      <c r="N6" s="7"/>
      <c r="O6" s="7"/>
      <c r="P6" s="8"/>
      <c r="Q6" s="7"/>
      <c r="R6" s="9"/>
      <c r="S6" s="8">
        <f>IF(tblBoots[[#This Row],[Name]]="","",
IF( AND(
        Sheet1!$A$2 &gt;= tblBoots[[#This Row],[min_cor]],
        Sheet1!$B$2 &gt;= tblBoots[[#This Row],[min_spi]],
        Sheet1!$C$2 &gt;= tblBoots[[#This Row],[min_gra]]
    ),
    _xlfn.FLOOR.MATH(
        value*tblBoots[[#This Row],[phy_cor]]*Sheet1!$A$2 +
        value*tblBoots[[#This Row],[phy_spi]]*Sheet1!$B$2 +
        value*tblBoots[[#This Row],[phy_gra]]*Sheet1!$C$2
    ) + tblBoots[[#This Row],[Base_phy]],
    tblBoots[[#This Row],[Base_phy]]
))</f>
        <v>0</v>
      </c>
      <c r="T6" s="7">
        <f>IF(tblBoots[[#This Row],[Name]]="","",
IF(AND(Sheet1!$A$2&gt;=tblBoots[[#This Row],[min_cor]],
       Sheet1!$B$2&gt;=tblBoots[[#This Row],[min_spi]],
       Sheet1!$C$2&gt;=tblBoots[[#This Row],[min_gra]]),
   _xlfn.FLOOR.MATH(value*tblBoots[[#This Row],[mag_cor]]*Sheet1!$A$2 +
              value*tblBoots[[#This Row],[mag_spi]]*Sheet1!$B$2 +
              value*tblBoots[[#This Row],[mag_gra]]*Sheet1!$C$2)
   + tblBoots[[#This Row],[Base_mag]],
   tblBoots[[#This Row],[Base_mag]]))</f>
        <v>0</v>
      </c>
      <c r="U6" s="9">
        <f>IF(tblBoots[[#This Row],[Name]]="","",
IF(AND(Sheet1!$A$2&gt;=tblBoots[[#This Row],[min_cor]],
       Sheet1!$B$2&gt;=tblBoots[[#This Row],[min_spi]],
       Sheet1!$C$2&gt;=tblBoots[[#This Row],[min_gra]]),
   _xlfn.FLOOR.MATH(value*tblBoots[[#This Row],[sta_cor]]*Sheet1!$A$2 +
              value*tblBoots[[#This Row],[sta_spi]]*Sheet1!$B$2 +
              value*tblBoots[[#This Row],[sta_gra]]*Sheet1!$C$2)
   + tblBoots[[#This Row],[Base_sta]],
   tblBoots[[#This Row],[Base_sta]]))</f>
        <v>0</v>
      </c>
      <c r="V6" s="7">
        <f>IF(tblBoots[[#This Row],[Name]]="","",
tblBoots[[#This Row],[phy]]*Sheet1!$E$2 +
tblBoots[[#This Row],[mag]]*Sheet1!$F$2 +
tblBoots[[#This Row],[sta]]*Sheet1!$G$2)</f>
        <v>0</v>
      </c>
      <c r="W6" s="7">
        <f>IF(tblBoots[[#This Row],[Name]]="","",
_xlfn.RANK.EQ(tblBoots[[#This Row],[Score]], tblBoots[Score], 0))</f>
        <v>20</v>
      </c>
    </row>
    <row r="7" spans="1:23" x14ac:dyDescent="0.3">
      <c r="A7" s="7" t="s">
        <v>44</v>
      </c>
      <c r="B7" s="7" t="s">
        <v>30</v>
      </c>
      <c r="C7" s="7" t="s">
        <v>45</v>
      </c>
      <c r="D7" s="8">
        <v>3</v>
      </c>
      <c r="E7" s="7">
        <v>2</v>
      </c>
      <c r="F7" s="9">
        <v>3</v>
      </c>
      <c r="G7" s="7"/>
      <c r="H7" s="7">
        <v>1</v>
      </c>
      <c r="I7" s="7">
        <v>2</v>
      </c>
      <c r="J7" s="21"/>
      <c r="K7" s="7">
        <v>2</v>
      </c>
      <c r="L7" s="18">
        <v>1</v>
      </c>
      <c r="M7" s="7"/>
      <c r="N7" s="7">
        <v>1</v>
      </c>
      <c r="O7" s="7">
        <v>2</v>
      </c>
      <c r="P7" s="8"/>
      <c r="Q7" s="7"/>
      <c r="R7" s="9">
        <v>15</v>
      </c>
      <c r="S7" s="8">
        <f>IF(tblBoots[[#This Row],[Name]]="","",
IF( AND(
        Sheet1!$A$2 &gt;= tblBoots[[#This Row],[min_cor]],
        Sheet1!$B$2 &gt;= tblBoots[[#This Row],[min_spi]],
        Sheet1!$C$2 &gt;= tblBoots[[#This Row],[min_gra]]
    ),
    _xlfn.FLOOR.MATH(
        value*tblBoots[[#This Row],[phy_cor]]*Sheet1!$A$2 +
        value*tblBoots[[#This Row],[phy_spi]]*Sheet1!$B$2 +
        value*tblBoots[[#This Row],[phy_gra]]*Sheet1!$C$2
    ) + tblBoots[[#This Row],[Base_phy]],
    tblBoots[[#This Row],[Base_phy]]
))</f>
        <v>12</v>
      </c>
      <c r="T7" s="7">
        <f>IF(tblBoots[[#This Row],[Name]]="","",
IF(AND(Sheet1!$A$2&gt;=tblBoots[[#This Row],[min_cor]],
       Sheet1!$B$2&gt;=tblBoots[[#This Row],[min_spi]],
       Sheet1!$C$2&gt;=tblBoots[[#This Row],[min_gra]]),
   _xlfn.FLOOR.MATH(value*tblBoots[[#This Row],[mag_cor]]*Sheet1!$A$2 +
              value*tblBoots[[#This Row],[mag_spi]]*Sheet1!$B$2 +
              value*tblBoots[[#This Row],[mag_gra]]*Sheet1!$C$2)
   + tblBoots[[#This Row],[Base_mag]],
   tblBoots[[#This Row],[Base_mag]]))</f>
        <v>8</v>
      </c>
      <c r="U7" s="9">
        <f>IF(tblBoots[[#This Row],[Name]]="","",
IF(AND(Sheet1!$A$2&gt;=tblBoots[[#This Row],[min_cor]],
       Sheet1!$B$2&gt;=tblBoots[[#This Row],[min_spi]],
       Sheet1!$C$2&gt;=tblBoots[[#This Row],[min_gra]]),
   _xlfn.FLOOR.MATH(value*tblBoots[[#This Row],[sta_cor]]*Sheet1!$A$2 +
              value*tblBoots[[#This Row],[sta_spi]]*Sheet1!$B$2 +
              value*tblBoots[[#This Row],[sta_gra]]*Sheet1!$C$2)
   + tblBoots[[#This Row],[Base_sta]],
   tblBoots[[#This Row],[Base_sta]]))</f>
        <v>12</v>
      </c>
      <c r="V7" s="7">
        <f>IF(tblBoots[[#This Row],[Name]]="","",
tblBoots[[#This Row],[phy]]*Sheet1!$E$2 +
tblBoots[[#This Row],[mag]]*Sheet1!$F$2 +
tblBoots[[#This Row],[sta]]*Sheet1!$G$2)</f>
        <v>32</v>
      </c>
      <c r="W7" s="7">
        <f>IF(tblBoots[[#This Row],[Name]]="","",
_xlfn.RANK.EQ(tblBoots[[#This Row],[Score]], tblBoots[Score], 0))</f>
        <v>2</v>
      </c>
    </row>
    <row r="8" spans="1:23" x14ac:dyDescent="0.3">
      <c r="A8" s="7" t="s">
        <v>33</v>
      </c>
      <c r="B8" s="7" t="s">
        <v>23</v>
      </c>
      <c r="C8" s="7" t="s">
        <v>34</v>
      </c>
      <c r="D8" s="8">
        <v>4</v>
      </c>
      <c r="E8" s="7">
        <v>2</v>
      </c>
      <c r="F8" s="9">
        <v>4</v>
      </c>
      <c r="G8" s="7">
        <v>3</v>
      </c>
      <c r="H8" s="7">
        <v>1</v>
      </c>
      <c r="I8" s="7"/>
      <c r="J8" s="21">
        <v>1</v>
      </c>
      <c r="K8" s="22">
        <v>2</v>
      </c>
      <c r="L8" s="18"/>
      <c r="M8" s="7">
        <v>1</v>
      </c>
      <c r="N8" s="7">
        <v>1</v>
      </c>
      <c r="O8" s="7"/>
      <c r="P8" s="8">
        <v>20</v>
      </c>
      <c r="Q8" s="7"/>
      <c r="R8" s="9"/>
      <c r="S8" s="8">
        <f>IF(tblBoots[[#This Row],[Name]]="","",
IF( AND(
        Sheet1!$A$2 &gt;= tblBoots[[#This Row],[min_cor]],
        Sheet1!$B$2 &gt;= tblBoots[[#This Row],[min_spi]],
        Sheet1!$C$2 &gt;= tblBoots[[#This Row],[min_gra]]
    ),
    _xlfn.FLOOR.MATH(
        value*tblBoots[[#This Row],[phy_cor]]*Sheet1!$A$2 +
        value*tblBoots[[#This Row],[phy_spi]]*Sheet1!$B$2 +
        value*tblBoots[[#This Row],[phy_gra]]*Sheet1!$C$2
    ) + tblBoots[[#This Row],[Base_phy]],
    tblBoots[[#This Row],[Base_phy]]
))</f>
        <v>4</v>
      </c>
      <c r="T8" s="7">
        <f>IF(tblBoots[[#This Row],[Name]]="","",
IF(AND(Sheet1!$A$2&gt;=tblBoots[[#This Row],[min_cor]],
       Sheet1!$B$2&gt;=tblBoots[[#This Row],[min_spi]],
       Sheet1!$C$2&gt;=tblBoots[[#This Row],[min_gra]]),
   _xlfn.FLOOR.MATH(value*tblBoots[[#This Row],[mag_cor]]*Sheet1!$A$2 +
              value*tblBoots[[#This Row],[mag_spi]]*Sheet1!$B$2 +
              value*tblBoots[[#This Row],[mag_gra]]*Sheet1!$C$2)
   + tblBoots[[#This Row],[Base_mag]],
   tblBoots[[#This Row],[Base_mag]]))</f>
        <v>2</v>
      </c>
      <c r="U8" s="9">
        <f>IF(tblBoots[[#This Row],[Name]]="","",
IF(AND(Sheet1!$A$2&gt;=tblBoots[[#This Row],[min_cor]],
       Sheet1!$B$2&gt;=tblBoots[[#This Row],[min_spi]],
       Sheet1!$C$2&gt;=tblBoots[[#This Row],[min_gra]]),
   _xlfn.FLOOR.MATH(value*tblBoots[[#This Row],[sta_cor]]*Sheet1!$A$2 +
              value*tblBoots[[#This Row],[sta_spi]]*Sheet1!$B$2 +
              value*tblBoots[[#This Row],[sta_gra]]*Sheet1!$C$2)
   + tblBoots[[#This Row],[Base_sta]],
   tblBoots[[#This Row],[Base_sta]]))</f>
        <v>4</v>
      </c>
      <c r="V8" s="7">
        <f>IF(tblBoots[[#This Row],[Name]]="","",
tblBoots[[#This Row],[phy]]*Sheet1!$E$2 +
tblBoots[[#This Row],[mag]]*Sheet1!$F$2 +
tblBoots[[#This Row],[sta]]*Sheet1!$G$2)</f>
        <v>10</v>
      </c>
      <c r="W8" s="7">
        <f>IF(tblBoots[[#This Row],[Name]]="","",
_xlfn.RANK.EQ(tblBoots[[#This Row],[Score]], tblBoots[Score], 0))</f>
        <v>9</v>
      </c>
    </row>
    <row r="9" spans="1:23" x14ac:dyDescent="0.3">
      <c r="A9" s="7" t="s">
        <v>35</v>
      </c>
      <c r="B9" s="7" t="s">
        <v>24</v>
      </c>
      <c r="C9" s="7" t="s">
        <v>36</v>
      </c>
      <c r="D9" s="8">
        <v>4</v>
      </c>
      <c r="E9" s="7">
        <v>4</v>
      </c>
      <c r="F9" s="9">
        <v>2</v>
      </c>
      <c r="G9" s="7"/>
      <c r="H9" s="7">
        <v>2</v>
      </c>
      <c r="I9" s="7">
        <v>1</v>
      </c>
      <c r="J9" s="21"/>
      <c r="K9" s="7">
        <v>2</v>
      </c>
      <c r="L9" s="18">
        <v>1</v>
      </c>
      <c r="M9" s="7"/>
      <c r="N9" s="7">
        <v>1</v>
      </c>
      <c r="O9" s="7">
        <v>2</v>
      </c>
      <c r="P9" s="8"/>
      <c r="Q9" s="7"/>
      <c r="R9" s="9">
        <v>20</v>
      </c>
      <c r="S9" s="8">
        <f>IF(tblBoots[[#This Row],[Name]]="","",
IF( AND(
        Sheet1!$A$2 &gt;= tblBoots[[#This Row],[min_cor]],
        Sheet1!$B$2 &gt;= tblBoots[[#This Row],[min_spi]],
        Sheet1!$C$2 &gt;= tblBoots[[#This Row],[min_gra]]
    ),
    _xlfn.FLOOR.MATH(
        value*tblBoots[[#This Row],[phy_cor]]*Sheet1!$A$2 +
        value*tblBoots[[#This Row],[phy_spi]]*Sheet1!$B$2 +
        value*tblBoots[[#This Row],[phy_gra]]*Sheet1!$C$2
    ) + tblBoots[[#This Row],[Base_phy]],
    tblBoots[[#This Row],[Base_phy]]
))</f>
        <v>10</v>
      </c>
      <c r="T9" s="7">
        <f>IF(tblBoots[[#This Row],[Name]]="","",
IF(AND(Sheet1!$A$2&gt;=tblBoots[[#This Row],[min_cor]],
       Sheet1!$B$2&gt;=tblBoots[[#This Row],[min_spi]],
       Sheet1!$C$2&gt;=tblBoots[[#This Row],[min_gra]]),
   _xlfn.FLOOR.MATH(value*tblBoots[[#This Row],[mag_cor]]*Sheet1!$A$2 +
              value*tblBoots[[#This Row],[mag_spi]]*Sheet1!$B$2 +
              value*tblBoots[[#This Row],[mag_gra]]*Sheet1!$C$2)
   + tblBoots[[#This Row],[Base_mag]],
   tblBoots[[#This Row],[Base_mag]]))</f>
        <v>10</v>
      </c>
      <c r="U9" s="9">
        <f>IF(tblBoots[[#This Row],[Name]]="","",
IF(AND(Sheet1!$A$2&gt;=tblBoots[[#This Row],[min_cor]],
       Sheet1!$B$2&gt;=tblBoots[[#This Row],[min_spi]],
       Sheet1!$C$2&gt;=tblBoots[[#This Row],[min_gra]]),
   _xlfn.FLOOR.MATH(value*tblBoots[[#This Row],[sta_cor]]*Sheet1!$A$2 +
              value*tblBoots[[#This Row],[sta_spi]]*Sheet1!$B$2 +
              value*tblBoots[[#This Row],[sta_gra]]*Sheet1!$C$2)
   + tblBoots[[#This Row],[Base_sta]],
   tblBoots[[#This Row],[Base_sta]]))</f>
        <v>11</v>
      </c>
      <c r="V9" s="7">
        <f>IF(tblBoots[[#This Row],[Name]]="","",
tblBoots[[#This Row],[phy]]*Sheet1!$E$2 +
tblBoots[[#This Row],[mag]]*Sheet1!$F$2 +
tblBoots[[#This Row],[sta]]*Sheet1!$G$2)</f>
        <v>31</v>
      </c>
      <c r="W9" s="7">
        <f>IF(tblBoots[[#This Row],[Name]]="","",
_xlfn.RANK.EQ(tblBoots[[#This Row],[Score]], tblBoots[Score], 0))</f>
        <v>3</v>
      </c>
    </row>
    <row r="10" spans="1:23" x14ac:dyDescent="0.3">
      <c r="A10" s="7" t="s">
        <v>37</v>
      </c>
      <c r="B10" s="7" t="s">
        <v>25</v>
      </c>
      <c r="C10" s="7" t="s">
        <v>38</v>
      </c>
      <c r="D10" s="8">
        <v>4</v>
      </c>
      <c r="E10" s="7">
        <v>3</v>
      </c>
      <c r="F10" s="9">
        <v>3</v>
      </c>
      <c r="G10" s="7">
        <v>1</v>
      </c>
      <c r="H10" s="7"/>
      <c r="I10" s="7">
        <v>3</v>
      </c>
      <c r="J10" s="21">
        <v>1</v>
      </c>
      <c r="K10" s="7"/>
      <c r="L10" s="18">
        <v>1</v>
      </c>
      <c r="M10" s="7"/>
      <c r="N10" s="7"/>
      <c r="O10" s="7">
        <v>3</v>
      </c>
      <c r="P10" s="8"/>
      <c r="Q10" s="7"/>
      <c r="R10" s="9">
        <v>20</v>
      </c>
      <c r="S10" s="8">
        <f>IF(tblBoots[[#This Row],[Name]]="","",
IF( AND(
        Sheet1!$A$2 &gt;= tblBoots[[#This Row],[min_cor]],
        Sheet1!$B$2 &gt;= tblBoots[[#This Row],[min_spi]],
        Sheet1!$C$2 &gt;= tblBoots[[#This Row],[min_gra]]
    ),
    _xlfn.FLOOR.MATH(
        value*tblBoots[[#This Row],[phy_cor]]*Sheet1!$A$2 +
        value*tblBoots[[#This Row],[phy_spi]]*Sheet1!$B$2 +
        value*tblBoots[[#This Row],[phy_gra]]*Sheet1!$C$2
    ) + tblBoots[[#This Row],[Base_phy]],
    tblBoots[[#This Row],[Base_phy]]
))</f>
        <v>18</v>
      </c>
      <c r="T10" s="7">
        <f>IF(tblBoots[[#This Row],[Name]]="","",
IF(AND(Sheet1!$A$2&gt;=tblBoots[[#This Row],[min_cor]],
       Sheet1!$B$2&gt;=tblBoots[[#This Row],[min_spi]],
       Sheet1!$C$2&gt;=tblBoots[[#This Row],[min_gra]]),
   _xlfn.FLOOR.MATH(value*tblBoots[[#This Row],[mag_cor]]*Sheet1!$A$2 +
              value*tblBoots[[#This Row],[mag_spi]]*Sheet1!$B$2 +
              value*tblBoots[[#This Row],[mag_gra]]*Sheet1!$C$2)
   + tblBoots[[#This Row],[Base_mag]],
   tblBoots[[#This Row],[Base_mag]]))</f>
        <v>8</v>
      </c>
      <c r="U10" s="9">
        <f>IF(tblBoots[[#This Row],[Name]]="","",
IF(AND(Sheet1!$A$2&gt;=tblBoots[[#This Row],[min_cor]],
       Sheet1!$B$2&gt;=tblBoots[[#This Row],[min_spi]],
       Sheet1!$C$2&gt;=tblBoots[[#This Row],[min_gra]]),
   _xlfn.FLOOR.MATH(value*tblBoots[[#This Row],[sta_cor]]*Sheet1!$A$2 +
              value*tblBoots[[#This Row],[sta_spi]]*Sheet1!$B$2 +
              value*tblBoots[[#This Row],[sta_gra]]*Sheet1!$C$2)
   + tblBoots[[#This Row],[Base_sta]],
   tblBoots[[#This Row],[Base_sta]]))</f>
        <v>16</v>
      </c>
      <c r="V10" s="7">
        <f>IF(tblBoots[[#This Row],[Name]]="","",
tblBoots[[#This Row],[phy]]*Sheet1!$E$2 +
tblBoots[[#This Row],[mag]]*Sheet1!$F$2 +
tblBoots[[#This Row],[sta]]*Sheet1!$G$2)</f>
        <v>42</v>
      </c>
      <c r="W10" s="7">
        <f>IF(tblBoots[[#This Row],[Name]]="","",
_xlfn.RANK.EQ(tblBoots[[#This Row],[Score]], tblBoots[Score], 0))</f>
        <v>1</v>
      </c>
    </row>
    <row r="11" spans="1:23" x14ac:dyDescent="0.3">
      <c r="A11" s="7" t="s">
        <v>151</v>
      </c>
      <c r="B11" s="7" t="s">
        <v>53</v>
      </c>
      <c r="C11" s="7" t="s">
        <v>55</v>
      </c>
      <c r="D11" s="8">
        <v>2</v>
      </c>
      <c r="E11" s="7">
        <v>4</v>
      </c>
      <c r="F11" s="9">
        <v>0</v>
      </c>
      <c r="G11" s="7"/>
      <c r="H11" s="7">
        <v>1</v>
      </c>
      <c r="I11" s="7"/>
      <c r="J11" s="21"/>
      <c r="K11" s="7">
        <v>1</v>
      </c>
      <c r="L11" s="18"/>
      <c r="M11" s="7"/>
      <c r="N11" s="7"/>
      <c r="O11" s="7"/>
      <c r="P11" s="8"/>
      <c r="Q11" s="7"/>
      <c r="R11" s="9"/>
      <c r="S11" s="8">
        <f>IF(tblBoots[[#This Row],[Name]]="","",
IF( AND(
        Sheet1!$A$2 &gt;= tblBoots[[#This Row],[min_cor]],
        Sheet1!$B$2 &gt;= tblBoots[[#This Row],[min_spi]],
        Sheet1!$C$2 &gt;= tblBoots[[#This Row],[min_gra]]
    ),
    _xlfn.FLOOR.MATH(
        value*tblBoots[[#This Row],[phy_cor]]*Sheet1!$A$2 +
        value*tblBoots[[#This Row],[phy_spi]]*Sheet1!$B$2 +
        value*tblBoots[[#This Row],[phy_gra]]*Sheet1!$C$2
    ) + tblBoots[[#This Row],[Base_phy]],
    tblBoots[[#This Row],[Base_phy]]
))</f>
        <v>2</v>
      </c>
      <c r="T11" s="7">
        <f>IF(tblBoots[[#This Row],[Name]]="","",
IF(AND(Sheet1!$A$2&gt;=tblBoots[[#This Row],[min_cor]],
       Sheet1!$B$2&gt;=tblBoots[[#This Row],[min_spi]],
       Sheet1!$C$2&gt;=tblBoots[[#This Row],[min_gra]]),
   _xlfn.FLOOR.MATH(value*tblBoots[[#This Row],[mag_cor]]*Sheet1!$A$2 +
              value*tblBoots[[#This Row],[mag_spi]]*Sheet1!$B$2 +
              value*tblBoots[[#This Row],[mag_gra]]*Sheet1!$C$2)
   + tblBoots[[#This Row],[Base_mag]],
   tblBoots[[#This Row],[Base_mag]]))</f>
        <v>4</v>
      </c>
      <c r="U11" s="9">
        <f>IF(tblBoots[[#This Row],[Name]]="","",
IF(AND(Sheet1!$A$2&gt;=tblBoots[[#This Row],[min_cor]],
       Sheet1!$B$2&gt;=tblBoots[[#This Row],[min_spi]],
       Sheet1!$C$2&gt;=tblBoots[[#This Row],[min_gra]]),
   _xlfn.FLOOR.MATH(value*tblBoots[[#This Row],[sta_cor]]*Sheet1!$A$2 +
              value*tblBoots[[#This Row],[sta_spi]]*Sheet1!$B$2 +
              value*tblBoots[[#This Row],[sta_gra]]*Sheet1!$C$2)
   + tblBoots[[#This Row],[Base_sta]],
   tblBoots[[#This Row],[Base_sta]]))</f>
        <v>0</v>
      </c>
      <c r="V11" s="7">
        <f>IF(tblBoots[[#This Row],[Name]]="","",
tblBoots[[#This Row],[phy]]*Sheet1!$E$2 +
tblBoots[[#This Row],[mag]]*Sheet1!$F$2 +
tblBoots[[#This Row],[sta]]*Sheet1!$G$2)</f>
        <v>6</v>
      </c>
      <c r="W11" s="7">
        <f>IF(tblBoots[[#This Row],[Name]]="","",
_xlfn.RANK.EQ(tblBoots[[#This Row],[Score]], tblBoots[Score], 0))</f>
        <v>16</v>
      </c>
    </row>
    <row r="12" spans="1:23" x14ac:dyDescent="0.3">
      <c r="A12" s="7" t="s">
        <v>40</v>
      </c>
      <c r="B12" s="7" t="s">
        <v>27</v>
      </c>
      <c r="C12" s="7" t="s">
        <v>38</v>
      </c>
      <c r="D12" s="8">
        <v>4</v>
      </c>
      <c r="E12" s="7">
        <v>2</v>
      </c>
      <c r="F12" s="9">
        <v>2</v>
      </c>
      <c r="G12" s="7">
        <v>2</v>
      </c>
      <c r="H12" s="7">
        <v>2</v>
      </c>
      <c r="I12" s="7"/>
      <c r="J12" s="21">
        <v>1</v>
      </c>
      <c r="K12" s="7">
        <v>2</v>
      </c>
      <c r="L12" s="18"/>
      <c r="M12" s="7">
        <v>2</v>
      </c>
      <c r="N12" s="7"/>
      <c r="O12" s="7"/>
      <c r="P12" s="8">
        <v>15</v>
      </c>
      <c r="Q12" s="7"/>
      <c r="R12" s="9"/>
      <c r="S12" s="8">
        <f>IF(tblBoots[[#This Row],[Name]]="","",
IF( AND(
        Sheet1!$A$2 &gt;= tblBoots[[#This Row],[min_cor]],
        Sheet1!$B$2 &gt;= tblBoots[[#This Row],[min_spi]],
        Sheet1!$C$2 &gt;= tblBoots[[#This Row],[min_gra]]
    ),
    _xlfn.FLOOR.MATH(
        value*tblBoots[[#This Row],[phy_cor]]*Sheet1!$A$2 +
        value*tblBoots[[#This Row],[phy_spi]]*Sheet1!$B$2 +
        value*tblBoots[[#This Row],[phy_gra]]*Sheet1!$C$2
    ) + tblBoots[[#This Row],[Base_phy]],
    tblBoots[[#This Row],[Base_phy]]
))</f>
        <v>4</v>
      </c>
      <c r="T12" s="7">
        <f>IF(tblBoots[[#This Row],[Name]]="","",
IF(AND(Sheet1!$A$2&gt;=tblBoots[[#This Row],[min_cor]],
       Sheet1!$B$2&gt;=tblBoots[[#This Row],[min_spi]],
       Sheet1!$C$2&gt;=tblBoots[[#This Row],[min_gra]]),
   _xlfn.FLOOR.MATH(value*tblBoots[[#This Row],[mag_cor]]*Sheet1!$A$2 +
              value*tblBoots[[#This Row],[mag_spi]]*Sheet1!$B$2 +
              value*tblBoots[[#This Row],[mag_gra]]*Sheet1!$C$2)
   + tblBoots[[#This Row],[Base_mag]],
   tblBoots[[#This Row],[Base_mag]]))</f>
        <v>2</v>
      </c>
      <c r="U12" s="9">
        <f>IF(tblBoots[[#This Row],[Name]]="","",
IF(AND(Sheet1!$A$2&gt;=tblBoots[[#This Row],[min_cor]],
       Sheet1!$B$2&gt;=tblBoots[[#This Row],[min_spi]],
       Sheet1!$C$2&gt;=tblBoots[[#This Row],[min_gra]]),
   _xlfn.FLOOR.MATH(value*tblBoots[[#This Row],[sta_cor]]*Sheet1!$A$2 +
              value*tblBoots[[#This Row],[sta_spi]]*Sheet1!$B$2 +
              value*tblBoots[[#This Row],[sta_gra]]*Sheet1!$C$2)
   + tblBoots[[#This Row],[Base_sta]],
   tblBoots[[#This Row],[Base_sta]]))</f>
        <v>2</v>
      </c>
      <c r="V12" s="7">
        <f>IF(tblBoots[[#This Row],[Name]]="","",
tblBoots[[#This Row],[phy]]*Sheet1!$E$2 +
tblBoots[[#This Row],[mag]]*Sheet1!$F$2 +
tblBoots[[#This Row],[sta]]*Sheet1!$G$2)</f>
        <v>8</v>
      </c>
      <c r="W12" s="7">
        <f>IF(tblBoots[[#This Row],[Name]]="","",
_xlfn.RANK.EQ(tblBoots[[#This Row],[Score]], tblBoots[Score], 0))</f>
        <v>11</v>
      </c>
    </row>
    <row r="13" spans="1:23" x14ac:dyDescent="0.3">
      <c r="A13" s="7" t="s">
        <v>59</v>
      </c>
      <c r="B13" s="7" t="s">
        <v>54</v>
      </c>
      <c r="C13" s="7" t="s">
        <v>56</v>
      </c>
      <c r="D13" s="8">
        <v>3</v>
      </c>
      <c r="E13" s="7">
        <v>0</v>
      </c>
      <c r="F13" s="9">
        <v>2</v>
      </c>
      <c r="G13" s="7"/>
      <c r="H13" s="7"/>
      <c r="I13" s="7">
        <v>1</v>
      </c>
      <c r="J13" s="21"/>
      <c r="K13" s="7"/>
      <c r="L13" s="18"/>
      <c r="M13" s="7"/>
      <c r="N13" s="7"/>
      <c r="O13" s="7">
        <v>1</v>
      </c>
      <c r="P13" s="8"/>
      <c r="Q13" s="7"/>
      <c r="R13" s="9"/>
      <c r="S13" s="8">
        <f>IF(tblBoots[[#This Row],[Name]]="","",
IF( AND(
        Sheet1!$A$2 &gt;= tblBoots[[#This Row],[min_cor]],
        Sheet1!$B$2 &gt;= tblBoots[[#This Row],[min_spi]],
        Sheet1!$C$2 &gt;= tblBoots[[#This Row],[min_gra]]
    ),
    _xlfn.FLOOR.MATH(
        value*tblBoots[[#This Row],[phy_cor]]*Sheet1!$A$2 +
        value*tblBoots[[#This Row],[phy_spi]]*Sheet1!$B$2 +
        value*tblBoots[[#This Row],[phy_gra]]*Sheet1!$C$2
    ) + tblBoots[[#This Row],[Base_phy]],
    tblBoots[[#This Row],[Base_phy]]
))</f>
        <v>7</v>
      </c>
      <c r="T13" s="7">
        <f>IF(tblBoots[[#This Row],[Name]]="","",
IF(AND(Sheet1!$A$2&gt;=tblBoots[[#This Row],[min_cor]],
       Sheet1!$B$2&gt;=tblBoots[[#This Row],[min_spi]],
       Sheet1!$C$2&gt;=tblBoots[[#This Row],[min_gra]]),
   _xlfn.FLOOR.MATH(value*tblBoots[[#This Row],[mag_cor]]*Sheet1!$A$2 +
              value*tblBoots[[#This Row],[mag_spi]]*Sheet1!$B$2 +
              value*tblBoots[[#This Row],[mag_gra]]*Sheet1!$C$2)
   + tblBoots[[#This Row],[Base_mag]],
   tblBoots[[#This Row],[Base_mag]]))</f>
        <v>0</v>
      </c>
      <c r="U13" s="9">
        <f>IF(tblBoots[[#This Row],[Name]]="","",
IF(AND(Sheet1!$A$2&gt;=tblBoots[[#This Row],[min_cor]],
       Sheet1!$B$2&gt;=tblBoots[[#This Row],[min_spi]],
       Sheet1!$C$2&gt;=tblBoots[[#This Row],[min_gra]]),
   _xlfn.FLOOR.MATH(value*tblBoots[[#This Row],[sta_cor]]*Sheet1!$A$2 +
              value*tblBoots[[#This Row],[sta_spi]]*Sheet1!$B$2 +
              value*tblBoots[[#This Row],[sta_gra]]*Sheet1!$C$2)
   + tblBoots[[#This Row],[Base_sta]],
   tblBoots[[#This Row],[Base_sta]]))</f>
        <v>6</v>
      </c>
      <c r="V13" s="7">
        <f>IF(tblBoots[[#This Row],[Name]]="","",
tblBoots[[#This Row],[phy]]*Sheet1!$E$2 +
tblBoots[[#This Row],[mag]]*Sheet1!$F$2 +
tblBoots[[#This Row],[sta]]*Sheet1!$G$2)</f>
        <v>13</v>
      </c>
      <c r="W13" s="7">
        <f>IF(tblBoots[[#This Row],[Name]]="","",
_xlfn.RANK.EQ(tblBoots[[#This Row],[Score]], tblBoots[Score], 0))</f>
        <v>7</v>
      </c>
    </row>
    <row r="14" spans="1:23" x14ac:dyDescent="0.3">
      <c r="A14" s="7" t="s">
        <v>60</v>
      </c>
      <c r="B14" s="7" t="s">
        <v>57</v>
      </c>
      <c r="C14" s="7" t="s">
        <v>58</v>
      </c>
      <c r="D14" s="8">
        <v>3</v>
      </c>
      <c r="E14" s="7">
        <v>3</v>
      </c>
      <c r="F14" s="9">
        <v>2</v>
      </c>
      <c r="G14" s="7"/>
      <c r="H14" s="7">
        <v>2</v>
      </c>
      <c r="I14" s="7"/>
      <c r="J14" s="21"/>
      <c r="K14" s="7">
        <v>2</v>
      </c>
      <c r="L14" s="18"/>
      <c r="M14" s="7"/>
      <c r="N14" s="7">
        <v>2</v>
      </c>
      <c r="O14" s="7"/>
      <c r="P14" s="8"/>
      <c r="Q14" s="7">
        <v>14</v>
      </c>
      <c r="R14" s="9"/>
      <c r="S14" s="8">
        <f>IF(tblBoots[[#This Row],[Name]]="","",
IF( AND(
        Sheet1!$A$2 &gt;= tblBoots[[#This Row],[min_cor]],
        Sheet1!$B$2 &gt;= tblBoots[[#This Row],[min_spi]],
        Sheet1!$C$2 &gt;= tblBoots[[#This Row],[min_gra]]
    ),
    _xlfn.FLOOR.MATH(
        value*tblBoots[[#This Row],[phy_cor]]*Sheet1!$A$2 +
        value*tblBoots[[#This Row],[phy_spi]]*Sheet1!$B$2 +
        value*tblBoots[[#This Row],[phy_gra]]*Sheet1!$C$2
    ) + tblBoots[[#This Row],[Base_phy]],
    tblBoots[[#This Row],[Base_phy]]
))</f>
        <v>3</v>
      </c>
      <c r="T14" s="7">
        <f>IF(tblBoots[[#This Row],[Name]]="","",
IF(AND(Sheet1!$A$2&gt;=tblBoots[[#This Row],[min_cor]],
       Sheet1!$B$2&gt;=tblBoots[[#This Row],[min_spi]],
       Sheet1!$C$2&gt;=tblBoots[[#This Row],[min_gra]]),
   _xlfn.FLOOR.MATH(value*tblBoots[[#This Row],[mag_cor]]*Sheet1!$A$2 +
              value*tblBoots[[#This Row],[mag_spi]]*Sheet1!$B$2 +
              value*tblBoots[[#This Row],[mag_gra]]*Sheet1!$C$2)
   + tblBoots[[#This Row],[Base_mag]],
   tblBoots[[#This Row],[Base_mag]]))</f>
        <v>3</v>
      </c>
      <c r="U14" s="9">
        <f>IF(tblBoots[[#This Row],[Name]]="","",
IF(AND(Sheet1!$A$2&gt;=tblBoots[[#This Row],[min_cor]],
       Sheet1!$B$2&gt;=tblBoots[[#This Row],[min_spi]],
       Sheet1!$C$2&gt;=tblBoots[[#This Row],[min_gra]]),
   _xlfn.FLOOR.MATH(value*tblBoots[[#This Row],[sta_cor]]*Sheet1!$A$2 +
              value*tblBoots[[#This Row],[sta_spi]]*Sheet1!$B$2 +
              value*tblBoots[[#This Row],[sta_gra]]*Sheet1!$C$2)
   + tblBoots[[#This Row],[Base_sta]],
   tblBoots[[#This Row],[Base_sta]]))</f>
        <v>2</v>
      </c>
      <c r="V14" s="7">
        <f>IF(tblBoots[[#This Row],[Name]]="","",
tblBoots[[#This Row],[phy]]*Sheet1!$E$2 +
tblBoots[[#This Row],[mag]]*Sheet1!$F$2 +
tblBoots[[#This Row],[sta]]*Sheet1!$G$2)</f>
        <v>8</v>
      </c>
      <c r="W14" s="7">
        <f>IF(tblBoots[[#This Row],[Name]]="","",
_xlfn.RANK.EQ(tblBoots[[#This Row],[Score]], tblBoots[Score], 0))</f>
        <v>11</v>
      </c>
    </row>
    <row r="15" spans="1:23" x14ac:dyDescent="0.3">
      <c r="A15" s="7" t="s">
        <v>62</v>
      </c>
      <c r="B15" s="7" t="s">
        <v>61</v>
      </c>
      <c r="C15" s="7" t="s">
        <v>38</v>
      </c>
      <c r="D15" s="8">
        <v>3</v>
      </c>
      <c r="E15" s="7">
        <v>0</v>
      </c>
      <c r="F15" s="9">
        <v>3</v>
      </c>
      <c r="G15" s="7"/>
      <c r="H15" s="7"/>
      <c r="I15" s="7">
        <v>2</v>
      </c>
      <c r="J15" s="21"/>
      <c r="K15" s="7"/>
      <c r="L15" s="18"/>
      <c r="M15" s="7"/>
      <c r="N15" s="7"/>
      <c r="O15" s="7">
        <v>2</v>
      </c>
      <c r="P15" s="8"/>
      <c r="Q15" s="7"/>
      <c r="R15" s="9">
        <v>10</v>
      </c>
      <c r="S15" s="8">
        <f>IF(tblBoots[[#This Row],[Name]]="","",
IF( AND(
        Sheet1!$A$2 &gt;= tblBoots[[#This Row],[min_cor]],
        Sheet1!$B$2 &gt;= tblBoots[[#This Row],[min_spi]],
        Sheet1!$C$2 &gt;= tblBoots[[#This Row],[min_gra]]
    ),
    _xlfn.FLOOR.MATH(
        value*tblBoots[[#This Row],[phy_cor]]*Sheet1!$A$2 +
        value*tblBoots[[#This Row],[phy_spi]]*Sheet1!$B$2 +
        value*tblBoots[[#This Row],[phy_gra]]*Sheet1!$C$2
    ) + tblBoots[[#This Row],[Base_phy]],
    tblBoots[[#This Row],[Base_phy]]
))</f>
        <v>12</v>
      </c>
      <c r="T15" s="7">
        <f>IF(tblBoots[[#This Row],[Name]]="","",
IF(AND(Sheet1!$A$2&gt;=tblBoots[[#This Row],[min_cor]],
       Sheet1!$B$2&gt;=tblBoots[[#This Row],[min_spi]],
       Sheet1!$C$2&gt;=tblBoots[[#This Row],[min_gra]]),
   _xlfn.FLOOR.MATH(value*tblBoots[[#This Row],[mag_cor]]*Sheet1!$A$2 +
              value*tblBoots[[#This Row],[mag_spi]]*Sheet1!$B$2 +
              value*tblBoots[[#This Row],[mag_gra]]*Sheet1!$C$2)
   + tblBoots[[#This Row],[Base_mag]],
   tblBoots[[#This Row],[Base_mag]]))</f>
        <v>0</v>
      </c>
      <c r="U15" s="9">
        <f>IF(tblBoots[[#This Row],[Name]]="","",
IF(AND(Sheet1!$A$2&gt;=tblBoots[[#This Row],[min_cor]],
       Sheet1!$B$2&gt;=tblBoots[[#This Row],[min_spi]],
       Sheet1!$C$2&gt;=tblBoots[[#This Row],[min_gra]]),
   _xlfn.FLOOR.MATH(value*tblBoots[[#This Row],[sta_cor]]*Sheet1!$A$2 +
              value*tblBoots[[#This Row],[sta_spi]]*Sheet1!$B$2 +
              value*tblBoots[[#This Row],[sta_gra]]*Sheet1!$C$2)
   + tblBoots[[#This Row],[Base_sta]],
   tblBoots[[#This Row],[Base_sta]]))</f>
        <v>12</v>
      </c>
      <c r="V15" s="7">
        <f>IF(tblBoots[[#This Row],[Name]]="","",
tblBoots[[#This Row],[phy]]*Sheet1!$E$2 +
tblBoots[[#This Row],[mag]]*Sheet1!$F$2 +
tblBoots[[#This Row],[sta]]*Sheet1!$G$2)</f>
        <v>24</v>
      </c>
      <c r="W15" s="7">
        <f>IF(tblBoots[[#This Row],[Name]]="","",
_xlfn.RANK.EQ(tblBoots[[#This Row],[Score]], tblBoots[Score], 0))</f>
        <v>5</v>
      </c>
    </row>
    <row r="16" spans="1:23" x14ac:dyDescent="0.3">
      <c r="A16" s="7" t="s">
        <v>189</v>
      </c>
      <c r="B16" s="7" t="s">
        <v>26</v>
      </c>
      <c r="C16" s="7" t="s">
        <v>39</v>
      </c>
      <c r="D16" s="8">
        <v>4</v>
      </c>
      <c r="E16" s="7">
        <v>0</v>
      </c>
      <c r="F16" s="9">
        <v>1</v>
      </c>
      <c r="G16" s="7">
        <v>1</v>
      </c>
      <c r="H16" s="7"/>
      <c r="I16" s="7"/>
      <c r="J16" s="21"/>
      <c r="K16" s="7"/>
      <c r="L16" s="18"/>
      <c r="M16" s="7">
        <v>1</v>
      </c>
      <c r="N16" s="7"/>
      <c r="O16" s="7"/>
      <c r="P16" s="8"/>
      <c r="Q16" s="7"/>
      <c r="R16" s="9"/>
      <c r="S16" s="8">
        <f>IF(tblBoots[[#This Row],[Name]]="","",
IF( AND(
        Sheet1!$A$2 &gt;= tblBoots[[#This Row],[min_cor]],
        Sheet1!$B$2 &gt;= tblBoots[[#This Row],[min_spi]],
        Sheet1!$C$2 &gt;= tblBoots[[#This Row],[min_gra]]
    ),
    _xlfn.FLOOR.MATH(
        value*tblBoots[[#This Row],[phy_cor]]*Sheet1!$A$2 +
        value*tblBoots[[#This Row],[phy_spi]]*Sheet1!$B$2 +
        value*tblBoots[[#This Row],[phy_gra]]*Sheet1!$C$2
    ) + tblBoots[[#This Row],[Base_phy]],
    tblBoots[[#This Row],[Base_phy]]
))</f>
        <v>4</v>
      </c>
      <c r="T16" s="7">
        <f>IF(tblBoots[[#This Row],[Name]]="","",
IF(AND(Sheet1!$A$2&gt;=tblBoots[[#This Row],[min_cor]],
       Sheet1!$B$2&gt;=tblBoots[[#This Row],[min_spi]],
       Sheet1!$C$2&gt;=tblBoots[[#This Row],[min_gra]]),
   _xlfn.FLOOR.MATH(value*tblBoots[[#This Row],[mag_cor]]*Sheet1!$A$2 +
              value*tblBoots[[#This Row],[mag_spi]]*Sheet1!$B$2 +
              value*tblBoots[[#This Row],[mag_gra]]*Sheet1!$C$2)
   + tblBoots[[#This Row],[Base_mag]],
   tblBoots[[#This Row],[Base_mag]]))</f>
        <v>0</v>
      </c>
      <c r="U16" s="9">
        <f>IF(tblBoots[[#This Row],[Name]]="","",
IF(AND(Sheet1!$A$2&gt;=tblBoots[[#This Row],[min_cor]],
       Sheet1!$B$2&gt;=tblBoots[[#This Row],[min_spi]],
       Sheet1!$C$2&gt;=tblBoots[[#This Row],[min_gra]]),
   _xlfn.FLOOR.MATH(value*tblBoots[[#This Row],[sta_cor]]*Sheet1!$A$2 +
              value*tblBoots[[#This Row],[sta_spi]]*Sheet1!$B$2 +
              value*tblBoots[[#This Row],[sta_gra]]*Sheet1!$C$2)
   + tblBoots[[#This Row],[Base_sta]],
   tblBoots[[#This Row],[Base_sta]]))</f>
        <v>1</v>
      </c>
      <c r="V16" s="7">
        <f>IF(tblBoots[[#This Row],[Name]]="","",
tblBoots[[#This Row],[phy]]*Sheet1!$E$2 +
tblBoots[[#This Row],[mag]]*Sheet1!$F$2 +
tblBoots[[#This Row],[sta]]*Sheet1!$G$2)</f>
        <v>5</v>
      </c>
      <c r="W16" s="7">
        <f>IF(tblBoots[[#This Row],[Name]]="","",
_xlfn.RANK.EQ(tblBoots[[#This Row],[Score]], tblBoots[Score], 0))</f>
        <v>19</v>
      </c>
    </row>
    <row r="17" spans="1:23" x14ac:dyDescent="0.3">
      <c r="A17" s="7" t="s">
        <v>16</v>
      </c>
      <c r="B17" s="7" t="s">
        <v>21</v>
      </c>
      <c r="C17" s="7" t="s">
        <v>17</v>
      </c>
      <c r="D17" s="8">
        <v>4</v>
      </c>
      <c r="E17" s="7">
        <v>0</v>
      </c>
      <c r="F17" s="9">
        <v>3</v>
      </c>
      <c r="G17" s="7">
        <v>2</v>
      </c>
      <c r="H17" s="7"/>
      <c r="I17" s="7">
        <v>2</v>
      </c>
      <c r="J17" s="21"/>
      <c r="K17" s="7"/>
      <c r="L17" s="18"/>
      <c r="M17" s="7">
        <v>2</v>
      </c>
      <c r="N17" s="7"/>
      <c r="O17" s="7">
        <v>2</v>
      </c>
      <c r="P17" s="8"/>
      <c r="Q17" s="7"/>
      <c r="R17" s="9">
        <v>17</v>
      </c>
      <c r="S17" s="8">
        <f>IF(tblBoots[[#This Row],[Name]]="","",
IF( AND(
        Sheet1!$A$2 &gt;= tblBoots[[#This Row],[min_cor]],
        Sheet1!$B$2 &gt;= tblBoots[[#This Row],[min_spi]],
        Sheet1!$C$2 &gt;= tblBoots[[#This Row],[min_gra]]
    ),
    _xlfn.FLOOR.MATH(
        value*tblBoots[[#This Row],[phy_cor]]*Sheet1!$A$2 +
        value*tblBoots[[#This Row],[phy_spi]]*Sheet1!$B$2 +
        value*tblBoots[[#This Row],[phy_gra]]*Sheet1!$C$2
    ) + tblBoots[[#This Row],[Base_phy]],
    tblBoots[[#This Row],[Base_phy]]
))</f>
        <v>15</v>
      </c>
      <c r="T17" s="7">
        <f>IF(tblBoots[[#This Row],[Name]]="","",
IF(AND(Sheet1!$A$2&gt;=tblBoots[[#This Row],[min_cor]],
       Sheet1!$B$2&gt;=tblBoots[[#This Row],[min_spi]],
       Sheet1!$C$2&gt;=tblBoots[[#This Row],[min_gra]]),
   _xlfn.FLOOR.MATH(value*tblBoots[[#This Row],[mag_cor]]*Sheet1!$A$2 +
              value*tblBoots[[#This Row],[mag_spi]]*Sheet1!$B$2 +
              value*tblBoots[[#This Row],[mag_gra]]*Sheet1!$C$2)
   + tblBoots[[#This Row],[Base_mag]],
   tblBoots[[#This Row],[Base_mag]]))</f>
        <v>0</v>
      </c>
      <c r="U17" s="9">
        <f>IF(tblBoots[[#This Row],[Name]]="","",
IF(AND(Sheet1!$A$2&gt;=tblBoots[[#This Row],[min_cor]],
       Sheet1!$B$2&gt;=tblBoots[[#This Row],[min_spi]],
       Sheet1!$C$2&gt;=tblBoots[[#This Row],[min_gra]]),
   _xlfn.FLOOR.MATH(value*tblBoots[[#This Row],[sta_cor]]*Sheet1!$A$2 +
              value*tblBoots[[#This Row],[sta_spi]]*Sheet1!$B$2 +
              value*tblBoots[[#This Row],[sta_gra]]*Sheet1!$C$2)
   + tblBoots[[#This Row],[Base_sta]],
   tblBoots[[#This Row],[Base_sta]]))</f>
        <v>14</v>
      </c>
      <c r="V17" s="7">
        <f>IF(tblBoots[[#This Row],[Name]]="","",
tblBoots[[#This Row],[phy]]*Sheet1!$E$2 +
tblBoots[[#This Row],[mag]]*Sheet1!$F$2 +
tblBoots[[#This Row],[sta]]*Sheet1!$G$2)</f>
        <v>29</v>
      </c>
      <c r="W17" s="7">
        <f>IF(tblBoots[[#This Row],[Name]]="","",
_xlfn.RANK.EQ(tblBoots[[#This Row],[Score]], tblBoots[Score], 0))</f>
        <v>4</v>
      </c>
    </row>
    <row r="18" spans="1:23" x14ac:dyDescent="0.3">
      <c r="A18" s="7" t="s">
        <v>187</v>
      </c>
      <c r="B18" s="7" t="s">
        <v>170</v>
      </c>
      <c r="C18" s="7" t="s">
        <v>166</v>
      </c>
      <c r="D18" s="8">
        <v>3</v>
      </c>
      <c r="E18" s="7">
        <v>4</v>
      </c>
      <c r="F18" s="9">
        <v>4</v>
      </c>
      <c r="G18" s="7"/>
      <c r="H18" s="7">
        <v>2</v>
      </c>
      <c r="I18" s="7"/>
      <c r="J18" s="21"/>
      <c r="K18" s="7">
        <v>2</v>
      </c>
      <c r="L18" s="18"/>
      <c r="M18" s="7"/>
      <c r="N18" s="7">
        <v>2</v>
      </c>
      <c r="O18" s="7"/>
      <c r="P18" s="8"/>
      <c r="Q18" s="7">
        <v>22</v>
      </c>
      <c r="R18" s="9"/>
      <c r="S18" s="8">
        <f>IF(tblBoots[[#This Row],[Name]]="","",
IF( AND(
        Sheet1!$A$2 &gt;= tblBoots[[#This Row],[min_cor]],
        Sheet1!$B$2 &gt;= tblBoots[[#This Row],[min_spi]],
        Sheet1!$C$2 &gt;= tblBoots[[#This Row],[min_gra]]
    ),
    _xlfn.FLOOR.MATH(
        value*tblBoots[[#This Row],[phy_cor]]*Sheet1!$A$2 +
        value*tblBoots[[#This Row],[phy_spi]]*Sheet1!$B$2 +
        value*tblBoots[[#This Row],[phy_gra]]*Sheet1!$C$2
    ) + tblBoots[[#This Row],[Base_phy]],
    tblBoots[[#This Row],[Base_phy]]
))</f>
        <v>3</v>
      </c>
      <c r="T18" s="7">
        <f>IF(tblBoots[[#This Row],[Name]]="","",
IF(AND(Sheet1!$A$2&gt;=tblBoots[[#This Row],[min_cor]],
       Sheet1!$B$2&gt;=tblBoots[[#This Row],[min_spi]],
       Sheet1!$C$2&gt;=tblBoots[[#This Row],[min_gra]]),
   _xlfn.FLOOR.MATH(value*tblBoots[[#This Row],[mag_cor]]*Sheet1!$A$2 +
              value*tblBoots[[#This Row],[mag_spi]]*Sheet1!$B$2 +
              value*tblBoots[[#This Row],[mag_gra]]*Sheet1!$C$2)
   + tblBoots[[#This Row],[Base_mag]],
   tblBoots[[#This Row],[Base_mag]]))</f>
        <v>4</v>
      </c>
      <c r="U18" s="9">
        <f>IF(tblBoots[[#This Row],[Name]]="","",
IF(AND(Sheet1!$A$2&gt;=tblBoots[[#This Row],[min_cor]],
       Sheet1!$B$2&gt;=tblBoots[[#This Row],[min_spi]],
       Sheet1!$C$2&gt;=tblBoots[[#This Row],[min_gra]]),
   _xlfn.FLOOR.MATH(value*tblBoots[[#This Row],[sta_cor]]*Sheet1!$A$2 +
              value*tblBoots[[#This Row],[sta_spi]]*Sheet1!$B$2 +
              value*tblBoots[[#This Row],[sta_gra]]*Sheet1!$C$2)
   + tblBoots[[#This Row],[Base_sta]],
   tblBoots[[#This Row],[Base_sta]]))</f>
        <v>4</v>
      </c>
      <c r="V18" s="7">
        <f>IF(tblBoots[[#This Row],[Name]]="","",
tblBoots[[#This Row],[phy]]*Sheet1!$E$2 +
tblBoots[[#This Row],[mag]]*Sheet1!$F$2 +
tblBoots[[#This Row],[sta]]*Sheet1!$G$2)</f>
        <v>11</v>
      </c>
      <c r="W18" s="7">
        <f>IF(tblBoots[[#This Row],[Name]]="","",
_xlfn.RANK.EQ(tblBoots[[#This Row],[Score]], tblBoots[Score], 0))</f>
        <v>8</v>
      </c>
    </row>
    <row r="19" spans="1:23" x14ac:dyDescent="0.3">
      <c r="A19" s="7" t="s">
        <v>65</v>
      </c>
      <c r="B19" s="7" t="s">
        <v>63</v>
      </c>
      <c r="C19" s="7" t="s">
        <v>67</v>
      </c>
      <c r="D19" s="8">
        <v>2</v>
      </c>
      <c r="E19" s="7">
        <v>4</v>
      </c>
      <c r="F19" s="9">
        <v>0</v>
      </c>
      <c r="G19" s="7"/>
      <c r="H19" s="7">
        <v>2</v>
      </c>
      <c r="I19" s="7"/>
      <c r="J19" s="21"/>
      <c r="K19" s="7">
        <v>1</v>
      </c>
      <c r="L19" s="18"/>
      <c r="M19" s="7"/>
      <c r="N19" s="7"/>
      <c r="O19" s="7"/>
      <c r="P19" s="8"/>
      <c r="Q19" s="7"/>
      <c r="R19" s="9"/>
      <c r="S19" s="8">
        <f>IF(tblBoots[[#This Row],[Name]]="","",
IF( AND(
        Sheet1!$A$2 &gt;= tblBoots[[#This Row],[min_cor]],
        Sheet1!$B$2 &gt;= tblBoots[[#This Row],[min_spi]],
        Sheet1!$C$2 &gt;= tblBoots[[#This Row],[min_gra]]
    ),
    _xlfn.FLOOR.MATH(
        value*tblBoots[[#This Row],[phy_cor]]*Sheet1!$A$2 +
        value*tblBoots[[#This Row],[phy_spi]]*Sheet1!$B$2 +
        value*tblBoots[[#This Row],[phy_gra]]*Sheet1!$C$2
    ) + tblBoots[[#This Row],[Base_phy]],
    tblBoots[[#This Row],[Base_phy]]
))</f>
        <v>3</v>
      </c>
      <c r="T19" s="7">
        <f>IF(tblBoots[[#This Row],[Name]]="","",
IF(AND(Sheet1!$A$2&gt;=tblBoots[[#This Row],[min_cor]],
       Sheet1!$B$2&gt;=tblBoots[[#This Row],[min_spi]],
       Sheet1!$C$2&gt;=tblBoots[[#This Row],[min_gra]]),
   _xlfn.FLOOR.MATH(value*tblBoots[[#This Row],[mag_cor]]*Sheet1!$A$2 +
              value*tblBoots[[#This Row],[mag_spi]]*Sheet1!$B$2 +
              value*tblBoots[[#This Row],[mag_gra]]*Sheet1!$C$2)
   + tblBoots[[#This Row],[Base_mag]],
   tblBoots[[#This Row],[Base_mag]]))</f>
        <v>4</v>
      </c>
      <c r="U19" s="9">
        <f>IF(tblBoots[[#This Row],[Name]]="","",
IF(AND(Sheet1!$A$2&gt;=tblBoots[[#This Row],[min_cor]],
       Sheet1!$B$2&gt;=tblBoots[[#This Row],[min_spi]],
       Sheet1!$C$2&gt;=tblBoots[[#This Row],[min_gra]]),
   _xlfn.FLOOR.MATH(value*tblBoots[[#This Row],[sta_cor]]*Sheet1!$A$2 +
              value*tblBoots[[#This Row],[sta_spi]]*Sheet1!$B$2 +
              value*tblBoots[[#This Row],[sta_gra]]*Sheet1!$C$2)
   + tblBoots[[#This Row],[Base_sta]],
   tblBoots[[#This Row],[Base_sta]]))</f>
        <v>0</v>
      </c>
      <c r="V19" s="7">
        <f>IF(tblBoots[[#This Row],[Name]]="","",
tblBoots[[#This Row],[phy]]*Sheet1!$E$2 +
tblBoots[[#This Row],[mag]]*Sheet1!$F$2 +
tblBoots[[#This Row],[sta]]*Sheet1!$G$2)</f>
        <v>7</v>
      </c>
      <c r="W19" s="7">
        <f>IF(tblBoots[[#This Row],[Name]]="","",
_xlfn.RANK.EQ(tblBoots[[#This Row],[Score]], tblBoots[Score], 0))</f>
        <v>14</v>
      </c>
    </row>
    <row r="20" spans="1:23" x14ac:dyDescent="0.3">
      <c r="A20" s="7" t="s">
        <v>18</v>
      </c>
      <c r="B20" s="7" t="s">
        <v>22</v>
      </c>
      <c r="C20" s="7" t="s">
        <v>69</v>
      </c>
      <c r="D20" s="8">
        <v>3</v>
      </c>
      <c r="E20" s="7">
        <v>0</v>
      </c>
      <c r="F20" s="9">
        <v>2</v>
      </c>
      <c r="G20" s="7"/>
      <c r="H20" s="7"/>
      <c r="I20" s="7">
        <v>2</v>
      </c>
      <c r="J20" s="21"/>
      <c r="K20" s="7"/>
      <c r="L20" s="18"/>
      <c r="M20" s="7"/>
      <c r="N20" s="7"/>
      <c r="O20" s="7">
        <v>1</v>
      </c>
      <c r="P20" s="8"/>
      <c r="Q20" s="7"/>
      <c r="R20" s="9"/>
      <c r="S20" s="8">
        <f>IF(tblBoots[[#This Row],[Name]]="","",
IF( AND(
        Sheet1!$A$2 &gt;= tblBoots[[#This Row],[min_cor]],
        Sheet1!$B$2 &gt;= tblBoots[[#This Row],[min_spi]],
        Sheet1!$C$2 &gt;= tblBoots[[#This Row],[min_gra]]
    ),
    _xlfn.FLOOR.MATH(
        value*tblBoots[[#This Row],[phy_cor]]*Sheet1!$A$2 +
        value*tblBoots[[#This Row],[phy_spi]]*Sheet1!$B$2 +
        value*tblBoots[[#This Row],[phy_gra]]*Sheet1!$C$2
    ) + tblBoots[[#This Row],[Base_phy]],
    tblBoots[[#This Row],[Base_phy]]
))</f>
        <v>12</v>
      </c>
      <c r="T20" s="7">
        <f>IF(tblBoots[[#This Row],[Name]]="","",
IF(AND(Sheet1!$A$2&gt;=tblBoots[[#This Row],[min_cor]],
       Sheet1!$B$2&gt;=tblBoots[[#This Row],[min_spi]],
       Sheet1!$C$2&gt;=tblBoots[[#This Row],[min_gra]]),
   _xlfn.FLOOR.MATH(value*tblBoots[[#This Row],[mag_cor]]*Sheet1!$A$2 +
              value*tblBoots[[#This Row],[mag_spi]]*Sheet1!$B$2 +
              value*tblBoots[[#This Row],[mag_gra]]*Sheet1!$C$2)
   + tblBoots[[#This Row],[Base_mag]],
   tblBoots[[#This Row],[Base_mag]]))</f>
        <v>0</v>
      </c>
      <c r="U20" s="9">
        <f>IF(tblBoots[[#This Row],[Name]]="","",
IF(AND(Sheet1!$A$2&gt;=tblBoots[[#This Row],[min_cor]],
       Sheet1!$B$2&gt;=tblBoots[[#This Row],[min_spi]],
       Sheet1!$C$2&gt;=tblBoots[[#This Row],[min_gra]]),
   _xlfn.FLOOR.MATH(value*tblBoots[[#This Row],[sta_cor]]*Sheet1!$A$2 +
              value*tblBoots[[#This Row],[sta_spi]]*Sheet1!$B$2 +
              value*tblBoots[[#This Row],[sta_gra]]*Sheet1!$C$2)
   + tblBoots[[#This Row],[Base_sta]],
   tblBoots[[#This Row],[Base_sta]]))</f>
        <v>6</v>
      </c>
      <c r="V20" s="7">
        <f>IF(tblBoots[[#This Row],[Name]]="","",
tblBoots[[#This Row],[phy]]*Sheet1!$E$2 +
tblBoots[[#This Row],[mag]]*Sheet1!$F$2 +
tblBoots[[#This Row],[sta]]*Sheet1!$G$2)</f>
        <v>18</v>
      </c>
      <c r="W20" s="7">
        <f>IF(tblBoots[[#This Row],[Name]]="","",
_xlfn.RANK.EQ(tblBoots[[#This Row],[Score]], tblBoots[Score], 0))</f>
        <v>6</v>
      </c>
    </row>
    <row r="21" spans="1:23" x14ac:dyDescent="0.3">
      <c r="A21" s="7" t="s">
        <v>66</v>
      </c>
      <c r="B21" s="7" t="s">
        <v>64</v>
      </c>
      <c r="C21" s="7" t="s">
        <v>68</v>
      </c>
      <c r="D21" s="8">
        <v>4</v>
      </c>
      <c r="E21" s="7">
        <v>0</v>
      </c>
      <c r="F21" s="9">
        <v>1</v>
      </c>
      <c r="G21" s="7">
        <v>2</v>
      </c>
      <c r="H21" s="7"/>
      <c r="I21" s="7"/>
      <c r="J21" s="21"/>
      <c r="K21" s="7"/>
      <c r="L21" s="18"/>
      <c r="M21" s="7">
        <v>1</v>
      </c>
      <c r="N21" s="7"/>
      <c r="O21" s="7"/>
      <c r="P21" s="8"/>
      <c r="Q21" s="7"/>
      <c r="R21" s="9"/>
      <c r="S21" s="8">
        <f>IF(tblBoots[[#This Row],[Name]]="","",
IF( AND(
        Sheet1!$A$2 &gt;= tblBoots[[#This Row],[min_cor]],
        Sheet1!$B$2 &gt;= tblBoots[[#This Row],[min_spi]],
        Sheet1!$C$2 &gt;= tblBoots[[#This Row],[min_gra]]
    ),
    _xlfn.FLOOR.MATH(
        value*tblBoots[[#This Row],[phy_cor]]*Sheet1!$A$2 +
        value*tblBoots[[#This Row],[phy_spi]]*Sheet1!$B$2 +
        value*tblBoots[[#This Row],[phy_gra]]*Sheet1!$C$2
    ) + tblBoots[[#This Row],[Base_phy]],
    tblBoots[[#This Row],[Base_phy]]
))</f>
        <v>5</v>
      </c>
      <c r="T21" s="7">
        <f>IF(tblBoots[[#This Row],[Name]]="","",
IF(AND(Sheet1!$A$2&gt;=tblBoots[[#This Row],[min_cor]],
       Sheet1!$B$2&gt;=tblBoots[[#This Row],[min_spi]],
       Sheet1!$C$2&gt;=tblBoots[[#This Row],[min_gra]]),
   _xlfn.FLOOR.MATH(value*tblBoots[[#This Row],[mag_cor]]*Sheet1!$A$2 +
              value*tblBoots[[#This Row],[mag_spi]]*Sheet1!$B$2 +
              value*tblBoots[[#This Row],[mag_gra]]*Sheet1!$C$2)
   + tblBoots[[#This Row],[Base_mag]],
   tblBoots[[#This Row],[Base_mag]]))</f>
        <v>0</v>
      </c>
      <c r="U21" s="9">
        <f>IF(tblBoots[[#This Row],[Name]]="","",
IF(AND(Sheet1!$A$2&gt;=tblBoots[[#This Row],[min_cor]],
       Sheet1!$B$2&gt;=tblBoots[[#This Row],[min_spi]],
       Sheet1!$C$2&gt;=tblBoots[[#This Row],[min_gra]]),
   _xlfn.FLOOR.MATH(value*tblBoots[[#This Row],[sta_cor]]*Sheet1!$A$2 +
              value*tblBoots[[#This Row],[sta_spi]]*Sheet1!$B$2 +
              value*tblBoots[[#This Row],[sta_gra]]*Sheet1!$C$2)
   + tblBoots[[#This Row],[Base_sta]],
   tblBoots[[#This Row],[Base_sta]]))</f>
        <v>1</v>
      </c>
      <c r="V21" s="7">
        <f>IF(tblBoots[[#This Row],[Name]]="","",
tblBoots[[#This Row],[phy]]*Sheet1!$E$2 +
tblBoots[[#This Row],[mag]]*Sheet1!$F$2 +
tblBoots[[#This Row],[sta]]*Sheet1!$G$2)</f>
        <v>6</v>
      </c>
      <c r="W21" s="7">
        <f>IF(tblBoots[[#This Row],[Name]]="","",
_xlfn.RANK.EQ(tblBoots[[#This Row],[Score]], tblBoots[Score], 0))</f>
        <v>16</v>
      </c>
    </row>
  </sheetData>
  <sortState xmlns:xlrd2="http://schemas.microsoft.com/office/spreadsheetml/2017/richdata2" ref="A2:W21">
    <sortCondition ref="B1:B21"/>
  </sortState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85EE4-5401-446F-91AD-0BD87E7C7365}">
  <dimension ref="A1:Q17"/>
  <sheetViews>
    <sheetView tabSelected="1" zoomScale="115" zoomScaleNormal="115" workbookViewId="0">
      <selection activeCell="G5" sqref="G5"/>
    </sheetView>
  </sheetViews>
  <sheetFormatPr defaultRowHeight="14" x14ac:dyDescent="0.3"/>
  <cols>
    <col min="1" max="1" width="12.6640625" customWidth="1"/>
    <col min="2" max="2" width="9.4140625" customWidth="1"/>
    <col min="4" max="4" width="0" hidden="1" customWidth="1"/>
    <col min="8" max="8" width="0" hidden="1" customWidth="1"/>
    <col min="10" max="10" width="18.9140625" customWidth="1"/>
    <col min="11" max="11" width="21.58203125" customWidth="1"/>
    <col min="12" max="12" width="13.4140625" customWidth="1"/>
  </cols>
  <sheetData>
    <row r="1" spans="1:17" x14ac:dyDescent="0.3">
      <c r="A1" t="s">
        <v>158</v>
      </c>
      <c r="B1" t="s">
        <v>159</v>
      </c>
      <c r="C1" t="s">
        <v>160</v>
      </c>
      <c r="E1" t="s">
        <v>162</v>
      </c>
      <c r="F1" t="s">
        <v>163</v>
      </c>
      <c r="G1" t="s">
        <v>164</v>
      </c>
      <c r="I1" s="28" t="s">
        <v>182</v>
      </c>
      <c r="J1" t="s">
        <v>177</v>
      </c>
      <c r="K1" t="s">
        <v>172</v>
      </c>
      <c r="L1" t="s">
        <v>178</v>
      </c>
      <c r="M1" t="s">
        <v>173</v>
      </c>
      <c r="N1" t="s">
        <v>174</v>
      </c>
      <c r="O1" t="s">
        <v>175</v>
      </c>
      <c r="P1" t="s">
        <v>179</v>
      </c>
      <c r="Q1" t="s">
        <v>176</v>
      </c>
    </row>
    <row r="2" spans="1:17" x14ac:dyDescent="0.3">
      <c r="A2">
        <v>8</v>
      </c>
      <c r="B2">
        <v>7</v>
      </c>
      <c r="C2">
        <v>38</v>
      </c>
      <c r="E2">
        <v>1</v>
      </c>
      <c r="F2">
        <v>1</v>
      </c>
      <c r="G2">
        <v>1</v>
      </c>
      <c r="I2" s="29"/>
      <c r="J2" t="str" cm="1">
        <f t="array" ref="J2:Q4">_xlfn.LET(_xlpm.data,
        CHOOSE({1,2,3,4,5,6,7,8},
            helmet!A2:A1000,
            helmet!B2:B1000,
            helmet!C2:C1000,
            helmet!S2:S1000,
            helmet!T2:T1000,
            helmet!U2:U1000,
            helmet!V2:V1000,
            helmet!W2:W1000
        ),
    _xlpm.r, helmet!W2:W1000,
    _xlfn._xlws.SORT(
        _xlfn._xlws.FILTER(_xlpm.data, (_xlpm.r&gt;=1)*(_xlpm.r&lt;=3)),
        8, 1
    )
)</f>
        <v>奥伦加头盔</v>
      </c>
      <c r="K2" t="str">
        <v>ARMET OF ORENGALL</v>
      </c>
      <c r="L2" t="str">
        <v>集团</v>
      </c>
      <c r="M2">
        <v>17</v>
      </c>
      <c r="N2">
        <v>7</v>
      </c>
      <c r="O2">
        <v>16</v>
      </c>
      <c r="P2">
        <v>40</v>
      </c>
      <c r="Q2">
        <v>1</v>
      </c>
    </row>
    <row r="3" spans="1:17" x14ac:dyDescent="0.3">
      <c r="I3" s="29"/>
      <c r="J3" t="str">
        <v>！Poppa Pepo面具</v>
      </c>
      <c r="K3" t="str">
        <v>POPPA PEPO MASK</v>
      </c>
      <c r="L3" t="str">
        <v>某个节日</v>
      </c>
      <c r="M3">
        <v>6</v>
      </c>
      <c r="N3">
        <v>12</v>
      </c>
      <c r="O3">
        <v>16</v>
      </c>
      <c r="P3">
        <v>34</v>
      </c>
      <c r="Q3">
        <v>2</v>
      </c>
    </row>
    <row r="4" spans="1:17" x14ac:dyDescent="0.3">
      <c r="J4" t="str">
        <v>加伦之恩典头冠</v>
      </c>
      <c r="K4" t="str">
        <v>GARREN'S CROWN OF GRACE</v>
      </c>
      <c r="L4" t="str">
        <v>鹿</v>
      </c>
      <c r="M4">
        <v>11</v>
      </c>
      <c r="N4">
        <v>8</v>
      </c>
      <c r="O4">
        <v>12</v>
      </c>
      <c r="P4">
        <v>31</v>
      </c>
      <c r="Q4">
        <v>3</v>
      </c>
    </row>
    <row r="6" spans="1:17" x14ac:dyDescent="0.3">
      <c r="A6" t="s">
        <v>190</v>
      </c>
      <c r="E6" t="s">
        <v>180</v>
      </c>
      <c r="G6" t="s">
        <v>181</v>
      </c>
    </row>
    <row r="7" spans="1:17" x14ac:dyDescent="0.3">
      <c r="A7">
        <v>0.12</v>
      </c>
      <c r="E7">
        <f>M2+N2+O2+M9+N9+O9+M15+N15+O15</f>
        <v>126</v>
      </c>
      <c r="G7">
        <f>P2+P9+P15</f>
        <v>126</v>
      </c>
    </row>
    <row r="8" spans="1:17" x14ac:dyDescent="0.3">
      <c r="I8" s="28" t="s">
        <v>183</v>
      </c>
    </row>
    <row r="9" spans="1:17" x14ac:dyDescent="0.3">
      <c r="I9" s="29"/>
      <c r="J9" t="str" cm="1">
        <f t="array" ref="J9:Q11">_xlfn.LET(
    _xlpm.data, CHOOSE({1,2,3,4,5,6,7,8},
        'body armor'!A2:A1000,
        'body armor'!B2:B1000,
        'body armor'!C2:C1000,
        'body armor'!S2:S1000,
        'body armor'!T2:T1000,
        'body armor'!U2:U1000,
        'body armor'!V2:V1000,
        'body armor'!W2:W1000
    ),
    _xlpm.r, 'body armor'!W2:W1000,
    _xlfn._xlws.SORT(_xlfn._xlws.FILTER(_xlpm.data,(_xlpm.r&gt;=1)*(_xlpm.r&lt;=3)),8,1)
)</f>
        <v>奥伦加胸甲</v>
      </c>
      <c r="K9" t="str">
        <v>ORENGALL'S CUIRASS</v>
      </c>
      <c r="L9" t="str">
        <v>集团</v>
      </c>
      <c r="M9">
        <v>19</v>
      </c>
      <c r="N9">
        <v>8</v>
      </c>
      <c r="O9">
        <v>17</v>
      </c>
      <c r="P9">
        <v>44</v>
      </c>
      <c r="Q9">
        <v>1</v>
      </c>
    </row>
    <row r="10" spans="1:17" x14ac:dyDescent="0.3">
      <c r="I10" s="29"/>
      <c r="J10" t="str">
        <v>嘲魂束衣</v>
      </c>
      <c r="K10" t="str">
        <v>MOCKERY BINDS</v>
      </c>
      <c r="L10" t="str">
        <v>三重</v>
      </c>
      <c r="M10">
        <v>10</v>
      </c>
      <c r="N10">
        <v>10</v>
      </c>
      <c r="O10">
        <v>13</v>
      </c>
      <c r="P10">
        <v>33</v>
      </c>
      <c r="Q10">
        <v>2</v>
      </c>
    </row>
    <row r="11" spans="1:17" x14ac:dyDescent="0.3">
      <c r="J11" t="str">
        <v>加伦·鲁德礼服</v>
      </c>
      <c r="K11" t="str">
        <v>REGALIA OF GARREN ROOD</v>
      </c>
      <c r="L11" t="str">
        <v>鹿</v>
      </c>
      <c r="M11">
        <v>12</v>
      </c>
      <c r="N11">
        <v>9</v>
      </c>
      <c r="O11">
        <v>12</v>
      </c>
      <c r="P11">
        <v>33</v>
      </c>
      <c r="Q11">
        <v>2</v>
      </c>
    </row>
    <row r="14" spans="1:17" x14ac:dyDescent="0.3">
      <c r="I14" s="28" t="s">
        <v>184</v>
      </c>
    </row>
    <row r="15" spans="1:17" x14ac:dyDescent="0.3">
      <c r="I15" s="29"/>
      <c r="J15" t="str" cm="1">
        <f t="array" ref="J15:Q17">_xlfn.LET(
    _xlpm.data, CHOOSE({1,2,3,4,5,6,7,8},
        boots!A2:A1000,
        boots!B2:B1000,
        boots!C2:C1000,
        boots!S2:S1000,
        boots!T2:T1000,
        boots!U2:U1000,
        boots!V2:V1000,
        boots!W2:W1000
    ),
    _xlpm.r, boots!W2:W1000,
    _xlfn._xlws.SORT(_xlfn._xlws.FILTER(_xlpm.data,(_xlpm.r&gt;=1)*(_xlpm.r&lt;=3)),8,1)
)</f>
        <v>奥伦加护胫</v>
      </c>
      <c r="K15" t="str">
        <v>ORENGALL'S GREAVES</v>
      </c>
      <c r="L15" t="str">
        <v>集团</v>
      </c>
      <c r="M15">
        <v>18</v>
      </c>
      <c r="N15">
        <v>8</v>
      </c>
      <c r="O15">
        <v>16</v>
      </c>
      <c r="P15">
        <v>42</v>
      </c>
      <c r="Q15">
        <v>1</v>
      </c>
    </row>
    <row r="16" spans="1:17" x14ac:dyDescent="0.3">
      <c r="I16" s="29"/>
      <c r="J16" t="str">
        <v>加伦之分蹄靴裤</v>
      </c>
      <c r="K16" t="str">
        <v>GARREN'S CLOVEN HOSEN</v>
      </c>
      <c r="L16" t="str">
        <v>鹿</v>
      </c>
      <c r="M16">
        <v>12</v>
      </c>
      <c r="N16">
        <v>8</v>
      </c>
      <c r="O16">
        <v>12</v>
      </c>
      <c r="P16">
        <v>32</v>
      </c>
      <c r="Q16">
        <v>2</v>
      </c>
    </row>
    <row r="17" spans="10:17" x14ac:dyDescent="0.3">
      <c r="J17" t="str">
        <v>嘲魂绑腿</v>
      </c>
      <c r="K17" t="str">
        <v>MONCKERY DOUTHROT</v>
      </c>
      <c r="L17" t="str">
        <v>三重</v>
      </c>
      <c r="M17">
        <v>10</v>
      </c>
      <c r="N17">
        <v>10</v>
      </c>
      <c r="O17">
        <v>11</v>
      </c>
      <c r="P17">
        <v>31</v>
      </c>
      <c r="Q17">
        <v>3</v>
      </c>
    </row>
  </sheetData>
  <mergeCells count="3">
    <mergeCell ref="I1:I3"/>
    <mergeCell ref="I8:I10"/>
    <mergeCell ref="I14:I16"/>
  </mergeCells>
  <phoneticPr fontId="1" type="noConversion"/>
  <dataValidations count="2">
    <dataValidation type="whole" allowBlank="1" showInputMessage="1" showErrorMessage="1" sqref="A2 B2 C2" xr:uid="{3288747E-F3D0-489A-BD14-734A8C460940}">
      <formula1>0</formula1>
      <formula2>1000</formula2>
    </dataValidation>
    <dataValidation type="decimal" allowBlank="1" showInputMessage="1" showErrorMessage="1" sqref="E2:G2" xr:uid="{C91E5200-69B2-43E1-A8E1-1CF3A8F00E90}">
      <formula1>0</formula1>
      <formula2>999</formula2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</vt:i4>
      </vt:variant>
    </vt:vector>
  </HeadingPairs>
  <TitlesOfParts>
    <vt:vector size="5" baseType="lpstr">
      <vt:lpstr>helmet</vt:lpstr>
      <vt:lpstr>body armor</vt:lpstr>
      <vt:lpstr>boots</vt:lpstr>
      <vt:lpstr>Sheet1</vt:lpstr>
      <vt:lpstr>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Dumz</dc:creator>
  <cp:lastModifiedBy>Dumz G</cp:lastModifiedBy>
  <dcterms:created xsi:type="dcterms:W3CDTF">2026-01-31T04:16:28Z</dcterms:created>
  <dcterms:modified xsi:type="dcterms:W3CDTF">2026-02-17T09:21:53Z</dcterms:modified>
  <cp:version>26.02.13.16</cp:version>
</cp:coreProperties>
</file>